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Olympics Data Analysis_Excel\"/>
    </mc:Choice>
  </mc:AlternateContent>
  <xr:revisionPtr revIDLastSave="0" documentId="13_ncr:1_{D103D323-363D-4261-B8DD-58BFED05B466}" xr6:coauthVersionLast="47" xr6:coauthVersionMax="47" xr10:uidLastSave="{00000000-0000-0000-0000-000000000000}"/>
  <bookViews>
    <workbookView xWindow="28690" yWindow="-110" windowWidth="29020" windowHeight="15700" xr2:uid="{8B00D029-C840-428E-82A9-044EEE0D00E9}"/>
  </bookViews>
  <sheets>
    <sheet name="Progression_Summary" sheetId="1" r:id="rId1"/>
  </sheets>
  <externalReferences>
    <externalReference r:id="rId2"/>
  </externalReferences>
  <definedNames>
    <definedName name="_xlnm._FilterDatabase" localSheetId="0" hidden="1">Progression_Summary!$A$1:$E$1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E37" i="1"/>
  <c r="D37" i="1"/>
  <c r="F37" i="1" s="1"/>
  <c r="C37" i="1"/>
  <c r="B37" i="1"/>
  <c r="G36" i="1"/>
  <c r="E36" i="1"/>
  <c r="D36" i="1"/>
  <c r="F36" i="1" s="1"/>
  <c r="C36" i="1"/>
  <c r="B36" i="1"/>
  <c r="G35" i="1"/>
  <c r="E35" i="1"/>
  <c r="D35" i="1"/>
  <c r="F35" i="1" s="1"/>
  <c r="C35" i="1"/>
  <c r="B35" i="1"/>
  <c r="G34" i="1"/>
  <c r="E34" i="1"/>
  <c r="D34" i="1"/>
  <c r="F34" i="1" s="1"/>
  <c r="C34" i="1"/>
  <c r="B34" i="1"/>
  <c r="G33" i="1"/>
  <c r="E33" i="1"/>
  <c r="D33" i="1"/>
  <c r="F33" i="1" s="1"/>
  <c r="C33" i="1"/>
  <c r="B33" i="1"/>
  <c r="G32" i="1"/>
  <c r="E32" i="1"/>
  <c r="D32" i="1"/>
  <c r="C32" i="1"/>
  <c r="B32" i="1"/>
  <c r="G31" i="1"/>
  <c r="E31" i="1"/>
  <c r="D31" i="1"/>
  <c r="F31" i="1" s="1"/>
  <c r="C31" i="1"/>
  <c r="B31" i="1"/>
  <c r="G30" i="1"/>
  <c r="E30" i="1"/>
  <c r="D30" i="1"/>
  <c r="F30" i="1" s="1"/>
  <c r="C30" i="1"/>
  <c r="B30" i="1"/>
  <c r="G29" i="1"/>
  <c r="E29" i="1"/>
  <c r="D29" i="1"/>
  <c r="C29" i="1"/>
  <c r="B29" i="1"/>
  <c r="G28" i="1"/>
  <c r="E28" i="1"/>
  <c r="D28" i="1"/>
  <c r="F28" i="1" s="1"/>
  <c r="C28" i="1"/>
  <c r="B28" i="1"/>
  <c r="G27" i="1"/>
  <c r="E27" i="1"/>
  <c r="D27" i="1"/>
  <c r="F27" i="1" s="1"/>
  <c r="C27" i="1"/>
  <c r="B27" i="1"/>
  <c r="G26" i="1"/>
  <c r="E26" i="1"/>
  <c r="D26" i="1"/>
  <c r="C26" i="1"/>
  <c r="B26" i="1"/>
  <c r="G25" i="1"/>
  <c r="E25" i="1"/>
  <c r="D25" i="1"/>
  <c r="F25" i="1" s="1"/>
  <c r="C25" i="1"/>
  <c r="B25" i="1"/>
  <c r="G24" i="1"/>
  <c r="E24" i="1"/>
  <c r="D24" i="1"/>
  <c r="F24" i="1" s="1"/>
  <c r="C24" i="1"/>
  <c r="B24" i="1"/>
  <c r="G23" i="1"/>
  <c r="F23" i="1"/>
  <c r="E23" i="1"/>
  <c r="D23" i="1"/>
  <c r="C23" i="1"/>
  <c r="B23" i="1"/>
  <c r="G22" i="1"/>
  <c r="E22" i="1"/>
  <c r="D22" i="1"/>
  <c r="F22" i="1" s="1"/>
  <c r="C22" i="1"/>
  <c r="B22" i="1"/>
  <c r="G21" i="1"/>
  <c r="E21" i="1"/>
  <c r="D21" i="1"/>
  <c r="F21" i="1" s="1"/>
  <c r="C21" i="1"/>
  <c r="B21" i="1"/>
  <c r="G20" i="1"/>
  <c r="E20" i="1"/>
  <c r="D20" i="1"/>
  <c r="C20" i="1"/>
  <c r="B20" i="1"/>
  <c r="G19" i="1"/>
  <c r="F19" i="1"/>
  <c r="E19" i="1"/>
  <c r="D19" i="1"/>
  <c r="C19" i="1"/>
  <c r="B19" i="1"/>
  <c r="G18" i="1"/>
  <c r="E18" i="1"/>
  <c r="D18" i="1"/>
  <c r="F18" i="1" s="1"/>
  <c r="C18" i="1"/>
  <c r="B18" i="1"/>
  <c r="G17" i="1"/>
  <c r="E17" i="1"/>
  <c r="D17" i="1"/>
  <c r="C17" i="1"/>
  <c r="B17" i="1"/>
  <c r="G16" i="1"/>
  <c r="E16" i="1"/>
  <c r="D16" i="1"/>
  <c r="C16" i="1"/>
  <c r="B16" i="1"/>
  <c r="G15" i="1"/>
  <c r="E15" i="1"/>
  <c r="D15" i="1"/>
  <c r="F15" i="1" s="1"/>
  <c r="C15" i="1"/>
  <c r="B15" i="1"/>
  <c r="G14" i="1"/>
  <c r="E14" i="1"/>
  <c r="D14" i="1"/>
  <c r="C14" i="1"/>
  <c r="B14" i="1"/>
  <c r="G13" i="1"/>
  <c r="E13" i="1"/>
  <c r="D13" i="1"/>
  <c r="C13" i="1"/>
  <c r="B13" i="1"/>
  <c r="G12" i="1"/>
  <c r="E12" i="1"/>
  <c r="D12" i="1"/>
  <c r="C12" i="1"/>
  <c r="B12" i="1"/>
  <c r="G11" i="1"/>
  <c r="F11" i="1"/>
  <c r="E11" i="1"/>
  <c r="D11" i="1"/>
  <c r="C11" i="1"/>
  <c r="B11" i="1"/>
  <c r="G10" i="1"/>
  <c r="E10" i="1"/>
  <c r="D10" i="1"/>
  <c r="C10" i="1"/>
  <c r="B10" i="1"/>
  <c r="G9" i="1"/>
  <c r="E9" i="1"/>
  <c r="D9" i="1"/>
  <c r="C9" i="1"/>
  <c r="B9" i="1"/>
  <c r="G8" i="1"/>
  <c r="E8" i="1"/>
  <c r="D8" i="1"/>
  <c r="F8" i="1" s="1"/>
  <c r="C8" i="1"/>
  <c r="B8" i="1"/>
  <c r="G7" i="1"/>
  <c r="E7" i="1"/>
  <c r="D7" i="1"/>
  <c r="C7" i="1"/>
  <c r="B7" i="1"/>
  <c r="F7" i="1" s="1"/>
  <c r="G6" i="1"/>
  <c r="E6" i="1"/>
  <c r="D6" i="1"/>
  <c r="C6" i="1"/>
  <c r="B6" i="1"/>
  <c r="G5" i="1"/>
  <c r="E5" i="1"/>
  <c r="D5" i="1"/>
  <c r="F5" i="1" s="1"/>
  <c r="C5" i="1"/>
  <c r="B5" i="1"/>
  <c r="G4" i="1"/>
  <c r="E4" i="1"/>
  <c r="D4" i="1"/>
  <c r="F4" i="1" s="1"/>
  <c r="C4" i="1"/>
  <c r="B4" i="1"/>
  <c r="G3" i="1"/>
  <c r="E3" i="1"/>
  <c r="D3" i="1"/>
  <c r="F3" i="1" s="1"/>
  <c r="C3" i="1"/>
  <c r="B3" i="1"/>
  <c r="G2" i="1"/>
  <c r="E2" i="1"/>
  <c r="D2" i="1"/>
  <c r="F2" i="1" s="1"/>
  <c r="C2" i="1"/>
  <c r="B2" i="1"/>
  <c r="F9" i="1" l="1"/>
  <c r="F12" i="1"/>
  <c r="F26" i="1"/>
  <c r="F29" i="1"/>
  <c r="F32" i="1"/>
  <c r="F6" i="1"/>
  <c r="F14" i="1"/>
  <c r="F17" i="1"/>
  <c r="F20" i="1"/>
  <c r="F10" i="1"/>
  <c r="F13" i="1"/>
  <c r="F16" i="1"/>
</calcChain>
</file>

<file path=xl/sharedStrings.xml><?xml version="1.0" encoding="utf-8"?>
<sst xmlns="http://schemas.openxmlformats.org/spreadsheetml/2006/main" count="43" uniqueCount="13">
  <si>
    <t>Country</t>
  </si>
  <si>
    <t>Avg ΔBronze</t>
  </si>
  <si>
    <t>Avg ΔSilver</t>
  </si>
  <si>
    <t>Avg ΔGold</t>
  </si>
  <si>
    <t>Avg Success</t>
  </si>
  <si>
    <t>Net Progress</t>
  </si>
  <si>
    <t>Final Ratio</t>
  </si>
  <si>
    <t>Germany</t>
  </si>
  <si>
    <t>United States</t>
  </si>
  <si>
    <t>Soviet Union</t>
  </si>
  <si>
    <t>Russia</t>
  </si>
  <si>
    <t>Australia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</si>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</sst>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F59B38-6F70-49A7-8AAE-9FB069719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me\OneDrive\Personal_Projects\Unified_Mentor\Olympics%20Data%20Analysis_Excel\Olympics_Medals_1976_2008_V1.2.xlsx" TargetMode="External"/><Relationship Id="rId1" Type="http://schemas.openxmlformats.org/officeDocument/2006/relationships/externalLinkPath" Target="Olympics_Medals_1976_2008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_Statements"/>
      <sheetName val="Playground"/>
      <sheetName val="Home_Advantage"/>
      <sheetName val="Host_Countries"/>
      <sheetName val="HostsTable"/>
      <sheetName val="Sheet5"/>
      <sheetName val="Country_Year_Medals"/>
      <sheetName val="Progression_Summary"/>
      <sheetName val="Sport_Discipline"/>
      <sheetName val="Raw_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Country</v>
          </cell>
          <cell r="F1" t="str">
            <v xml:space="preserve"> ΔSilver</v>
          </cell>
          <cell r="G1" t="str">
            <v>Gold</v>
          </cell>
          <cell r="H1" t="str">
            <v xml:space="preserve"> ΔGold</v>
          </cell>
          <cell r="J1" t="str">
            <v>Gold/Bronze Ratio</v>
          </cell>
          <cell r="K1" t="str">
            <v>Success Score</v>
          </cell>
        </row>
        <row r="2">
          <cell r="A2" t="str">
            <v>United States</v>
          </cell>
          <cell r="G2">
            <v>63</v>
          </cell>
          <cell r="J2" t="str">
            <v/>
          </cell>
          <cell r="K2">
            <v>2</v>
          </cell>
        </row>
        <row r="3">
          <cell r="A3" t="str">
            <v>United States</v>
          </cell>
          <cell r="F3">
            <v>59</v>
          </cell>
          <cell r="G3">
            <v>168</v>
          </cell>
          <cell r="H3">
            <v>105</v>
          </cell>
          <cell r="J3">
            <v>3.36</v>
          </cell>
          <cell r="K3">
            <v>2</v>
          </cell>
        </row>
        <row r="4">
          <cell r="A4" t="str">
            <v>United States</v>
          </cell>
          <cell r="F4">
            <v>-51</v>
          </cell>
          <cell r="G4">
            <v>77</v>
          </cell>
          <cell r="H4">
            <v>-91</v>
          </cell>
          <cell r="J4">
            <v>1.4807692307692308</v>
          </cell>
          <cell r="K4">
            <v>3</v>
          </cell>
        </row>
        <row r="5">
          <cell r="A5" t="str">
            <v>United States</v>
          </cell>
          <cell r="F5">
            <v>-14</v>
          </cell>
          <cell r="G5">
            <v>89</v>
          </cell>
          <cell r="H5">
            <v>12</v>
          </cell>
          <cell r="J5">
            <v>1.0470588235294118</v>
          </cell>
          <cell r="K5">
            <v>3</v>
          </cell>
        </row>
        <row r="6">
          <cell r="A6" t="str">
            <v>United States</v>
          </cell>
          <cell r="F6">
            <v>-2</v>
          </cell>
          <cell r="G6">
            <v>160</v>
          </cell>
          <cell r="H6">
            <v>71</v>
          </cell>
          <cell r="J6">
            <v>3.0769230769230771</v>
          </cell>
          <cell r="K6">
            <v>1</v>
          </cell>
        </row>
        <row r="7">
          <cell r="A7" t="str">
            <v>United States</v>
          </cell>
          <cell r="F7">
            <v>18</v>
          </cell>
          <cell r="G7">
            <v>130</v>
          </cell>
          <cell r="H7">
            <v>-30</v>
          </cell>
          <cell r="J7">
            <v>2.5</v>
          </cell>
          <cell r="K7">
            <v>1</v>
          </cell>
        </row>
        <row r="8">
          <cell r="A8" t="str">
            <v>United States</v>
          </cell>
          <cell r="F8">
            <v>9</v>
          </cell>
          <cell r="G8">
            <v>116</v>
          </cell>
          <cell r="H8">
            <v>-14</v>
          </cell>
          <cell r="J8">
            <v>1.5890410958904109</v>
          </cell>
          <cell r="K8">
            <v>2</v>
          </cell>
        </row>
        <row r="9">
          <cell r="A9" t="str">
            <v>United States</v>
          </cell>
          <cell r="F9">
            <v>34</v>
          </cell>
          <cell r="G9">
            <v>125</v>
          </cell>
          <cell r="H9">
            <v>9</v>
          </cell>
          <cell r="J9">
            <v>1.5432098765432098</v>
          </cell>
          <cell r="K9" t="str">
            <v/>
          </cell>
        </row>
        <row r="10">
          <cell r="A10" t="str">
            <v>Soviet Union</v>
          </cell>
          <cell r="F10" t="str">
            <v/>
          </cell>
          <cell r="G10">
            <v>113</v>
          </cell>
          <cell r="H10" t="str">
            <v/>
          </cell>
          <cell r="J10" t="str">
            <v/>
          </cell>
          <cell r="K10">
            <v>2</v>
          </cell>
        </row>
        <row r="11">
          <cell r="A11" t="str">
            <v>Soviet Union</v>
          </cell>
          <cell r="F11">
            <v>34</v>
          </cell>
          <cell r="G11">
            <v>192</v>
          </cell>
          <cell r="H11">
            <v>79</v>
          </cell>
          <cell r="J11">
            <v>1.5609756097560976</v>
          </cell>
          <cell r="K11">
            <v>2</v>
          </cell>
        </row>
        <row r="12">
          <cell r="A12" t="str">
            <v>Soviet Union</v>
          </cell>
          <cell r="F12">
            <v>-62</v>
          </cell>
          <cell r="G12">
            <v>134</v>
          </cell>
          <cell r="H12">
            <v>-58</v>
          </cell>
          <cell r="J12">
            <v>1.4105263157894736</v>
          </cell>
          <cell r="K12" t="str">
            <v/>
          </cell>
        </row>
        <row r="13">
          <cell r="A13" t="str">
            <v>Australia</v>
          </cell>
          <cell r="F13" t="str">
            <v/>
          </cell>
          <cell r="H13" t="str">
            <v/>
          </cell>
          <cell r="J13" t="str">
            <v/>
          </cell>
          <cell r="K13">
            <v>3</v>
          </cell>
        </row>
        <row r="14">
          <cell r="A14" t="str">
            <v>Australia</v>
          </cell>
          <cell r="F14">
            <v>-14</v>
          </cell>
          <cell r="G14">
            <v>5</v>
          </cell>
          <cell r="H14">
            <v>5</v>
          </cell>
          <cell r="J14">
            <v>1</v>
          </cell>
          <cell r="K14">
            <v>1</v>
          </cell>
        </row>
        <row r="15">
          <cell r="A15" t="str">
            <v>Australia</v>
          </cell>
          <cell r="F15">
            <v>12</v>
          </cell>
          <cell r="G15">
            <v>7</v>
          </cell>
          <cell r="H15">
            <v>2</v>
          </cell>
          <cell r="J15">
            <v>0.2413793103448276</v>
          </cell>
          <cell r="K15">
            <v>3</v>
          </cell>
        </row>
        <row r="16">
          <cell r="A16" t="str">
            <v>Australia</v>
          </cell>
          <cell r="F16">
            <v>-8</v>
          </cell>
          <cell r="G16">
            <v>18</v>
          </cell>
          <cell r="H16">
            <v>11</v>
          </cell>
          <cell r="J16">
            <v>1.8</v>
          </cell>
          <cell r="K16">
            <v>0</v>
          </cell>
        </row>
        <row r="17">
          <cell r="A17" t="str">
            <v>Australia</v>
          </cell>
          <cell r="F17">
            <v>21</v>
          </cell>
          <cell r="G17">
            <v>14</v>
          </cell>
          <cell r="H17">
            <v>-4</v>
          </cell>
          <cell r="J17">
            <v>0.875</v>
          </cell>
          <cell r="K17">
            <v>3</v>
          </cell>
        </row>
        <row r="18">
          <cell r="A18" t="str">
            <v>Australia</v>
          </cell>
          <cell r="F18">
            <v>-11</v>
          </cell>
          <cell r="G18">
            <v>32</v>
          </cell>
          <cell r="H18">
            <v>18</v>
          </cell>
          <cell r="J18">
            <v>0.38095238095238093</v>
          </cell>
          <cell r="K18">
            <v>2</v>
          </cell>
        </row>
        <row r="19">
          <cell r="A19" t="str">
            <v>Australia</v>
          </cell>
          <cell r="F19">
            <v>53</v>
          </cell>
          <cell r="G19">
            <v>60</v>
          </cell>
          <cell r="H19">
            <v>28</v>
          </cell>
          <cell r="J19">
            <v>1.1111111111111112</v>
          </cell>
          <cell r="K19">
            <v>1</v>
          </cell>
        </row>
        <row r="20">
          <cell r="A20" t="str">
            <v>Australia</v>
          </cell>
          <cell r="F20">
            <v>9</v>
          </cell>
          <cell r="G20">
            <v>49</v>
          </cell>
          <cell r="H20">
            <v>-11</v>
          </cell>
          <cell r="J20">
            <v>1.6333333333333333</v>
          </cell>
          <cell r="K20">
            <v>2</v>
          </cell>
        </row>
        <row r="21">
          <cell r="A21" t="str">
            <v>Australia</v>
          </cell>
          <cell r="F21">
            <v>-36</v>
          </cell>
          <cell r="G21">
            <v>31</v>
          </cell>
          <cell r="H21">
            <v>-18</v>
          </cell>
          <cell r="J21">
            <v>0.40789473684210525</v>
          </cell>
          <cell r="K21" t="str">
            <v/>
          </cell>
        </row>
        <row r="22">
          <cell r="A22" t="str">
            <v>Germany</v>
          </cell>
          <cell r="F22" t="str">
            <v/>
          </cell>
          <cell r="G22">
            <v>81</v>
          </cell>
          <cell r="H22" t="str">
            <v/>
          </cell>
          <cell r="J22" t="str">
            <v/>
          </cell>
          <cell r="K22">
            <v>2</v>
          </cell>
        </row>
        <row r="23">
          <cell r="A23" t="str">
            <v>Germany</v>
          </cell>
          <cell r="F23">
            <v>-22</v>
          </cell>
          <cell r="G23">
            <v>42</v>
          </cell>
          <cell r="H23">
            <v>-39</v>
          </cell>
          <cell r="J23">
            <v>0.8936170212765957</v>
          </cell>
          <cell r="K23">
            <v>2</v>
          </cell>
        </row>
        <row r="24">
          <cell r="A24" t="str">
            <v>Germany</v>
          </cell>
          <cell r="F24">
            <v>-12</v>
          </cell>
          <cell r="G24">
            <v>31</v>
          </cell>
          <cell r="H24">
            <v>-11</v>
          </cell>
          <cell r="J24">
            <v>0.47692307692307695</v>
          </cell>
          <cell r="K24">
            <v>2</v>
          </cell>
        </row>
        <row r="25">
          <cell r="A25" t="str">
            <v>Germany</v>
          </cell>
          <cell r="F25">
            <v>22</v>
          </cell>
          <cell r="G25">
            <v>41</v>
          </cell>
          <cell r="H25">
            <v>10</v>
          </cell>
          <cell r="J25">
            <v>0.65079365079365081</v>
          </cell>
          <cell r="K25">
            <v>3</v>
          </cell>
        </row>
        <row r="26">
          <cell r="A26" t="str">
            <v>Germany</v>
          </cell>
          <cell r="F26">
            <v>-29</v>
          </cell>
          <cell r="G26">
            <v>42</v>
          </cell>
          <cell r="H26">
            <v>1</v>
          </cell>
          <cell r="J26">
            <v>0.97674418604651159</v>
          </cell>
          <cell r="K26" t="str">
            <v/>
          </cell>
        </row>
        <row r="27">
          <cell r="A27" t="str">
            <v>China</v>
          </cell>
          <cell r="F27" t="str">
            <v/>
          </cell>
          <cell r="G27">
            <v>26</v>
          </cell>
          <cell r="H27" t="str">
            <v/>
          </cell>
          <cell r="J27" t="str">
            <v/>
          </cell>
          <cell r="K27">
            <v>1</v>
          </cell>
        </row>
        <row r="28">
          <cell r="A28" t="str">
            <v>China</v>
          </cell>
          <cell r="F28">
            <v>3</v>
          </cell>
          <cell r="G28">
            <v>6</v>
          </cell>
          <cell r="H28">
            <v>-20</v>
          </cell>
          <cell r="J28">
            <v>0.19354838709677419</v>
          </cell>
          <cell r="K28">
            <v>1</v>
          </cell>
        </row>
        <row r="29">
          <cell r="A29" t="str">
            <v>China</v>
          </cell>
          <cell r="F29">
            <v>30</v>
          </cell>
          <cell r="G29">
            <v>18</v>
          </cell>
          <cell r="H29">
            <v>12</v>
          </cell>
          <cell r="J29">
            <v>0.94736842105263153</v>
          </cell>
          <cell r="K29">
            <v>1</v>
          </cell>
        </row>
        <row r="30">
          <cell r="A30" t="str">
            <v>China</v>
          </cell>
          <cell r="F30">
            <v>28</v>
          </cell>
          <cell r="G30">
            <v>19</v>
          </cell>
          <cell r="H30">
            <v>1</v>
          </cell>
          <cell r="J30">
            <v>1.1176470588235294</v>
          </cell>
          <cell r="K30">
            <v>3</v>
          </cell>
        </row>
        <row r="31">
          <cell r="A31" t="str">
            <v>China</v>
          </cell>
          <cell r="F31">
            <v>-51</v>
          </cell>
          <cell r="G31">
            <v>39</v>
          </cell>
          <cell r="H31">
            <v>20</v>
          </cell>
          <cell r="J31">
            <v>2.2941176470588234</v>
          </cell>
          <cell r="K31">
            <v>2</v>
          </cell>
        </row>
        <row r="32">
          <cell r="A32" t="str">
            <v>China</v>
          </cell>
          <cell r="F32">
            <v>4</v>
          </cell>
          <cell r="G32">
            <v>52</v>
          </cell>
          <cell r="H32">
            <v>13</v>
          </cell>
          <cell r="J32">
            <v>3.4666666666666668</v>
          </cell>
          <cell r="K32">
            <v>2</v>
          </cell>
        </row>
        <row r="33">
          <cell r="A33" t="str">
            <v>China</v>
          </cell>
          <cell r="F33">
            <v>26</v>
          </cell>
          <cell r="G33">
            <v>74</v>
          </cell>
          <cell r="H33">
            <v>22</v>
          </cell>
          <cell r="J33">
            <v>1.2982456140350878</v>
          </cell>
          <cell r="K33" t="str">
            <v/>
          </cell>
        </row>
        <row r="34">
          <cell r="A34" t="str">
            <v>Russia</v>
          </cell>
          <cell r="F34" t="str">
            <v/>
          </cell>
          <cell r="G34">
            <v>36</v>
          </cell>
          <cell r="H34" t="str">
            <v/>
          </cell>
          <cell r="J34" t="str">
            <v/>
          </cell>
          <cell r="K34">
            <v>2</v>
          </cell>
        </row>
        <row r="35">
          <cell r="A35" t="str">
            <v>Russia</v>
          </cell>
          <cell r="F35">
            <v>23</v>
          </cell>
          <cell r="G35">
            <v>66</v>
          </cell>
          <cell r="H35">
            <v>30</v>
          </cell>
          <cell r="J35">
            <v>1.2222222222222223</v>
          </cell>
          <cell r="K35">
            <v>2</v>
          </cell>
        </row>
        <row r="36">
          <cell r="A36" t="str">
            <v>Russia</v>
          </cell>
          <cell r="F36">
            <v>-19</v>
          </cell>
          <cell r="G36">
            <v>47</v>
          </cell>
          <cell r="H36">
            <v>-19</v>
          </cell>
          <cell r="J36">
            <v>0.48958333333333331</v>
          </cell>
          <cell r="K36">
            <v>2</v>
          </cell>
        </row>
        <row r="37">
          <cell r="A37" t="str">
            <v>Russia</v>
          </cell>
          <cell r="F37">
            <v>-5</v>
          </cell>
          <cell r="G37">
            <v>43</v>
          </cell>
          <cell r="H37">
            <v>-4</v>
          </cell>
          <cell r="J37">
            <v>0.7678571428571429</v>
          </cell>
          <cell r="K37" t="str">
            <v/>
          </cell>
        </row>
        <row r="38">
          <cell r="F38" t="str">
            <v/>
          </cell>
          <cell r="H38" t="str">
            <v/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DFD1-ADCE-47BE-BA89-0B15E7187133}">
  <dimension ref="A1:G37"/>
  <sheetViews>
    <sheetView tabSelected="1" workbookViewId="0">
      <selection activeCell="L21" sqref="L21"/>
    </sheetView>
  </sheetViews>
  <sheetFormatPr defaultRowHeight="14.5"/>
  <cols>
    <col min="1" max="1" width="16.81640625" customWidth="1"/>
    <col min="2" max="2" width="10.6328125" bestFit="1" customWidth="1"/>
    <col min="3" max="3" width="9.453125" bestFit="1" customWidth="1"/>
    <col min="5" max="5" width="11.08984375" bestFit="1" customWidth="1"/>
    <col min="6" max="6" width="11.1796875" bestFit="1" customWidth="1"/>
    <col min="7" max="7" width="9.7265625" bestFit="1" customWidth="1"/>
    <col min="8" max="8" width="7.542968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3">
        <f>AVERAGEIF([1]Country_Year_Medals!$A:$A,$A2,[1]Country_Year_Medals!$F:$F)</f>
        <v>-10.25</v>
      </c>
      <c r="C2">
        <f>AVERAGEIF([1]Country_Year_Medals!$A:$A,$A2,[1]Country_Year_Medals!$G:$G)</f>
        <v>47.4</v>
      </c>
      <c r="D2">
        <f>AVERAGEIFS([1]Country_Year_Medals!H:H,[1]Country_Year_Medals!A:A,$A2)</f>
        <v>-9.75</v>
      </c>
      <c r="E2">
        <f>AVERAGEIFS([1]Country_Year_Medals!K:K,[1]Country_Year_Medals!A:A,$A2)</f>
        <v>2.25</v>
      </c>
      <c r="F2">
        <f>D2-B2</f>
        <v>0.5</v>
      </c>
      <c r="G2">
        <f>AVERAGEIFS([1]Country_Year_Medals!J:J,[1]Country_Year_Medals!A:A,$A2)</f>
        <v>0.7495194837599588</v>
      </c>
    </row>
    <row r="3" spans="1:7">
      <c r="A3" t="s">
        <v>7</v>
      </c>
      <c r="B3" s="3">
        <f>AVERAGEIF([1]Country_Year_Medals!$A:$A,$A3,[1]Country_Year_Medals!$F:$F)</f>
        <v>-10.25</v>
      </c>
      <c r="C3">
        <f>AVERAGEIF([1]Country_Year_Medals!$A:$A,$A3,[1]Country_Year_Medals!$G:$G)</f>
        <v>47.4</v>
      </c>
      <c r="D3">
        <f>AVERAGEIFS([1]Country_Year_Medals!H:H,[1]Country_Year_Medals!A:A,$A3)</f>
        <v>-9.75</v>
      </c>
      <c r="E3">
        <f>AVERAGEIFS([1]Country_Year_Medals!K:K,[1]Country_Year_Medals!A:A,$A3)</f>
        <v>2.25</v>
      </c>
      <c r="F3">
        <f t="shared" ref="F3:F37" si="0">D3-B3</f>
        <v>0.5</v>
      </c>
      <c r="G3">
        <f>AVERAGEIFS([1]Country_Year_Medals!J:J,[1]Country_Year_Medals!A:A,$A3)</f>
        <v>0.7495194837599588</v>
      </c>
    </row>
    <row r="4" spans="1:7">
      <c r="A4" t="s">
        <v>7</v>
      </c>
      <c r="B4" s="3">
        <f>AVERAGEIF([1]Country_Year_Medals!$A:$A,$A4,[1]Country_Year_Medals!$F:$F)</f>
        <v>-10.25</v>
      </c>
      <c r="C4">
        <f>AVERAGEIF([1]Country_Year_Medals!$A:$A,$A4,[1]Country_Year_Medals!$G:$G)</f>
        <v>47.4</v>
      </c>
      <c r="D4">
        <f>AVERAGEIFS([1]Country_Year_Medals!H:H,[1]Country_Year_Medals!A:A,$A4)</f>
        <v>-9.75</v>
      </c>
      <c r="E4">
        <f>AVERAGEIFS([1]Country_Year_Medals!K:K,[1]Country_Year_Medals!A:A,$A4)</f>
        <v>2.25</v>
      </c>
      <c r="F4">
        <f t="shared" si="0"/>
        <v>0.5</v>
      </c>
      <c r="G4">
        <f>AVERAGEIFS([1]Country_Year_Medals!J:J,[1]Country_Year_Medals!A:A,$A4)</f>
        <v>0.7495194837599588</v>
      </c>
    </row>
    <row r="5" spans="1:7">
      <c r="A5" t="s">
        <v>7</v>
      </c>
      <c r="B5" s="3">
        <f>AVERAGEIF([1]Country_Year_Medals!$A:$A,$A5,[1]Country_Year_Medals!$F:$F)</f>
        <v>-10.25</v>
      </c>
      <c r="C5">
        <f>AVERAGEIF([1]Country_Year_Medals!$A:$A,$A5,[1]Country_Year_Medals!$G:$G)</f>
        <v>47.4</v>
      </c>
      <c r="D5">
        <f>AVERAGEIFS([1]Country_Year_Medals!H:H,[1]Country_Year_Medals!A:A,$A5)</f>
        <v>-9.75</v>
      </c>
      <c r="E5">
        <f>AVERAGEIFS([1]Country_Year_Medals!K:K,[1]Country_Year_Medals!A:A,$A5)</f>
        <v>2.25</v>
      </c>
      <c r="F5">
        <f t="shared" si="0"/>
        <v>0.5</v>
      </c>
      <c r="G5">
        <f>AVERAGEIFS([1]Country_Year_Medals!J:J,[1]Country_Year_Medals!A:A,$A5)</f>
        <v>0.7495194837599588</v>
      </c>
    </row>
    <row r="6" spans="1:7">
      <c r="A6" t="s">
        <v>7</v>
      </c>
      <c r="B6" s="3">
        <f>AVERAGEIF([1]Country_Year_Medals!$A:$A,$A6,[1]Country_Year_Medals!$F:$F)</f>
        <v>-10.25</v>
      </c>
      <c r="C6">
        <f>AVERAGEIF([1]Country_Year_Medals!$A:$A,$A6,[1]Country_Year_Medals!$G:$G)</f>
        <v>47.4</v>
      </c>
      <c r="D6">
        <f>AVERAGEIFS([1]Country_Year_Medals!H:H,[1]Country_Year_Medals!A:A,$A6)</f>
        <v>-9.75</v>
      </c>
      <c r="E6">
        <f>AVERAGEIFS([1]Country_Year_Medals!K:K,[1]Country_Year_Medals!A:A,$A6)</f>
        <v>2.25</v>
      </c>
      <c r="F6">
        <f t="shared" si="0"/>
        <v>0.5</v>
      </c>
      <c r="G6">
        <f>AVERAGEIFS([1]Country_Year_Medals!J:J,[1]Country_Year_Medals!A:A,$A6)</f>
        <v>0.7495194837599588</v>
      </c>
    </row>
    <row r="7" spans="1:7">
      <c r="A7" t="s">
        <v>8</v>
      </c>
      <c r="B7" s="3">
        <f>AVERAGEIF([1]Country_Year_Medals!$A:$A,$A7,[1]Country_Year_Medals!$F:$F)</f>
        <v>7.5714285714285712</v>
      </c>
      <c r="C7">
        <f>AVERAGEIF([1]Country_Year_Medals!$A:$A,$A7,[1]Country_Year_Medals!$G:$G)</f>
        <v>116</v>
      </c>
      <c r="D7">
        <f>AVERAGEIFS([1]Country_Year_Medals!H:H,[1]Country_Year_Medals!A:A,$A7)</f>
        <v>8.8571428571428577</v>
      </c>
      <c r="E7">
        <f>AVERAGEIFS([1]Country_Year_Medals!K:K,[1]Country_Year_Medals!A:A,$A7)</f>
        <v>2</v>
      </c>
      <c r="F7">
        <f t="shared" si="0"/>
        <v>1.2857142857142865</v>
      </c>
      <c r="G7">
        <f>AVERAGEIFS([1]Country_Year_Medals!J:J,[1]Country_Year_Medals!A:A,$A7)</f>
        <v>2.0852860148079055</v>
      </c>
    </row>
    <row r="8" spans="1:7">
      <c r="A8" t="s">
        <v>8</v>
      </c>
      <c r="B8" s="3">
        <f>AVERAGEIF([1]Country_Year_Medals!$A:$A,$A8,[1]Country_Year_Medals!$F:$F)</f>
        <v>7.5714285714285712</v>
      </c>
      <c r="C8">
        <f>AVERAGEIF([1]Country_Year_Medals!$A:$A,$A8,[1]Country_Year_Medals!$G:$G)</f>
        <v>116</v>
      </c>
      <c r="D8">
        <f>AVERAGEIFS([1]Country_Year_Medals!H:H,[1]Country_Year_Medals!A:A,$A8)</f>
        <v>8.8571428571428577</v>
      </c>
      <c r="E8">
        <f>AVERAGEIFS([1]Country_Year_Medals!K:K,[1]Country_Year_Medals!A:A,$A8)</f>
        <v>2</v>
      </c>
      <c r="F8">
        <f t="shared" si="0"/>
        <v>1.2857142857142865</v>
      </c>
      <c r="G8">
        <f>AVERAGEIFS([1]Country_Year_Medals!J:J,[1]Country_Year_Medals!A:A,$A8)</f>
        <v>2.0852860148079055</v>
      </c>
    </row>
    <row r="9" spans="1:7">
      <c r="A9" t="s">
        <v>8</v>
      </c>
      <c r="B9" s="3">
        <f>AVERAGEIF([1]Country_Year_Medals!$A:$A,$A9,[1]Country_Year_Medals!$F:$F)</f>
        <v>7.5714285714285712</v>
      </c>
      <c r="C9">
        <f>AVERAGEIF([1]Country_Year_Medals!$A:$A,$A9,[1]Country_Year_Medals!$G:$G)</f>
        <v>116</v>
      </c>
      <c r="D9">
        <f>AVERAGEIFS([1]Country_Year_Medals!H:H,[1]Country_Year_Medals!A:A,$A9)</f>
        <v>8.8571428571428577</v>
      </c>
      <c r="E9">
        <f>AVERAGEIFS([1]Country_Year_Medals!K:K,[1]Country_Year_Medals!A:A,$A9)</f>
        <v>2</v>
      </c>
      <c r="F9">
        <f t="shared" si="0"/>
        <v>1.2857142857142865</v>
      </c>
      <c r="G9">
        <f>AVERAGEIFS([1]Country_Year_Medals!J:J,[1]Country_Year_Medals!A:A,$A9)</f>
        <v>2.0852860148079055</v>
      </c>
    </row>
    <row r="10" spans="1:7">
      <c r="A10" t="s">
        <v>8</v>
      </c>
      <c r="B10" s="3">
        <f>AVERAGEIF([1]Country_Year_Medals!$A:$A,$A10,[1]Country_Year_Medals!$F:$F)</f>
        <v>7.5714285714285712</v>
      </c>
      <c r="C10">
        <f>AVERAGEIF([1]Country_Year_Medals!$A:$A,$A10,[1]Country_Year_Medals!$G:$G)</f>
        <v>116</v>
      </c>
      <c r="D10">
        <f>AVERAGEIFS([1]Country_Year_Medals!H:H,[1]Country_Year_Medals!A:A,$A10)</f>
        <v>8.8571428571428577</v>
      </c>
      <c r="E10">
        <f>AVERAGEIFS([1]Country_Year_Medals!K:K,[1]Country_Year_Medals!A:A,$A10)</f>
        <v>2</v>
      </c>
      <c r="F10">
        <f t="shared" si="0"/>
        <v>1.2857142857142865</v>
      </c>
      <c r="G10">
        <f>AVERAGEIFS([1]Country_Year_Medals!J:J,[1]Country_Year_Medals!A:A,$A10)</f>
        <v>2.0852860148079055</v>
      </c>
    </row>
    <row r="11" spans="1:7">
      <c r="A11" t="s">
        <v>8</v>
      </c>
      <c r="B11" s="3">
        <f>AVERAGEIF([1]Country_Year_Medals!$A:$A,$A11,[1]Country_Year_Medals!$F:$F)</f>
        <v>7.5714285714285712</v>
      </c>
      <c r="C11">
        <f>AVERAGEIF([1]Country_Year_Medals!$A:$A,$A11,[1]Country_Year_Medals!$G:$G)</f>
        <v>116</v>
      </c>
      <c r="D11">
        <f>AVERAGEIFS([1]Country_Year_Medals!H:H,[1]Country_Year_Medals!A:A,$A11)</f>
        <v>8.8571428571428577</v>
      </c>
      <c r="E11">
        <f>AVERAGEIFS([1]Country_Year_Medals!K:K,[1]Country_Year_Medals!A:A,$A11)</f>
        <v>2</v>
      </c>
      <c r="F11">
        <f t="shared" si="0"/>
        <v>1.2857142857142865</v>
      </c>
      <c r="G11">
        <f>AVERAGEIFS([1]Country_Year_Medals!J:J,[1]Country_Year_Medals!A:A,$A11)</f>
        <v>2.0852860148079055</v>
      </c>
    </row>
    <row r="12" spans="1:7">
      <c r="A12" t="s">
        <v>8</v>
      </c>
      <c r="B12" s="3">
        <f>AVERAGEIF([1]Country_Year_Medals!$A:$A,$A12,[1]Country_Year_Medals!$F:$F)</f>
        <v>7.5714285714285712</v>
      </c>
      <c r="C12">
        <f>AVERAGEIF([1]Country_Year_Medals!$A:$A,$A12,[1]Country_Year_Medals!$G:$G)</f>
        <v>116</v>
      </c>
      <c r="D12">
        <f>AVERAGEIFS([1]Country_Year_Medals!H:H,[1]Country_Year_Medals!A:A,$A12)</f>
        <v>8.8571428571428577</v>
      </c>
      <c r="E12">
        <f>AVERAGEIFS([1]Country_Year_Medals!K:K,[1]Country_Year_Medals!A:A,$A12)</f>
        <v>2</v>
      </c>
      <c r="F12">
        <f t="shared" si="0"/>
        <v>1.2857142857142865</v>
      </c>
      <c r="G12">
        <f>AVERAGEIFS([1]Country_Year_Medals!J:J,[1]Country_Year_Medals!A:A,$A12)</f>
        <v>2.0852860148079055</v>
      </c>
    </row>
    <row r="13" spans="1:7">
      <c r="A13" t="s">
        <v>8</v>
      </c>
      <c r="B13" s="3">
        <f>AVERAGEIF([1]Country_Year_Medals!$A:$A,$A13,[1]Country_Year_Medals!$F:$F)</f>
        <v>7.5714285714285712</v>
      </c>
      <c r="C13">
        <f>AVERAGEIF([1]Country_Year_Medals!$A:$A,$A13,[1]Country_Year_Medals!$G:$G)</f>
        <v>116</v>
      </c>
      <c r="D13">
        <f>AVERAGEIFS([1]Country_Year_Medals!H:H,[1]Country_Year_Medals!A:A,$A13)</f>
        <v>8.8571428571428577</v>
      </c>
      <c r="E13">
        <f>AVERAGEIFS([1]Country_Year_Medals!K:K,[1]Country_Year_Medals!A:A,$A13)</f>
        <v>2</v>
      </c>
      <c r="F13">
        <f t="shared" si="0"/>
        <v>1.2857142857142865</v>
      </c>
      <c r="G13">
        <f>AVERAGEIFS([1]Country_Year_Medals!J:J,[1]Country_Year_Medals!A:A,$A13)</f>
        <v>2.0852860148079055</v>
      </c>
    </row>
    <row r="14" spans="1:7">
      <c r="A14" t="s">
        <v>8</v>
      </c>
      <c r="B14" s="3">
        <f>AVERAGEIF([1]Country_Year_Medals!$A:$A,$A14,[1]Country_Year_Medals!$F:$F)</f>
        <v>7.5714285714285712</v>
      </c>
      <c r="C14">
        <f>AVERAGEIF([1]Country_Year_Medals!$A:$A,$A14,[1]Country_Year_Medals!$G:$G)</f>
        <v>116</v>
      </c>
      <c r="D14">
        <f>AVERAGEIFS([1]Country_Year_Medals!H:H,[1]Country_Year_Medals!A:A,$A14)</f>
        <v>8.8571428571428577</v>
      </c>
      <c r="E14">
        <f>AVERAGEIFS([1]Country_Year_Medals!K:K,[1]Country_Year_Medals!A:A,$A14)</f>
        <v>2</v>
      </c>
      <c r="F14">
        <f t="shared" si="0"/>
        <v>1.2857142857142865</v>
      </c>
      <c r="G14">
        <f>AVERAGEIFS([1]Country_Year_Medals!J:J,[1]Country_Year_Medals!A:A,$A14)</f>
        <v>2.0852860148079055</v>
      </c>
    </row>
    <row r="15" spans="1:7">
      <c r="A15" t="s">
        <v>9</v>
      </c>
      <c r="B15" s="3">
        <f>AVERAGEIF([1]Country_Year_Medals!$A:$A,$A15,[1]Country_Year_Medals!$F:$F)</f>
        <v>-14</v>
      </c>
      <c r="C15">
        <f>AVERAGEIF([1]Country_Year_Medals!$A:$A,$A15,[1]Country_Year_Medals!$G:$G)</f>
        <v>146.33333333333334</v>
      </c>
      <c r="D15">
        <f>AVERAGEIFS([1]Country_Year_Medals!H:H,[1]Country_Year_Medals!A:A,$A15)</f>
        <v>10.5</v>
      </c>
      <c r="E15">
        <f>AVERAGEIFS([1]Country_Year_Medals!K:K,[1]Country_Year_Medals!A:A,$A15)</f>
        <v>2</v>
      </c>
      <c r="F15">
        <f t="shared" si="0"/>
        <v>24.5</v>
      </c>
      <c r="G15">
        <f>AVERAGEIFS([1]Country_Year_Medals!J:J,[1]Country_Year_Medals!A:A,$A15)</f>
        <v>1.4857509627727856</v>
      </c>
    </row>
    <row r="16" spans="1:7">
      <c r="A16" t="s">
        <v>9</v>
      </c>
      <c r="B16" s="3">
        <f>AVERAGEIF([1]Country_Year_Medals!$A:$A,$A16,[1]Country_Year_Medals!$F:$F)</f>
        <v>-14</v>
      </c>
      <c r="C16">
        <f>AVERAGEIF([1]Country_Year_Medals!$A:$A,$A16,[1]Country_Year_Medals!$G:$G)</f>
        <v>146.33333333333334</v>
      </c>
      <c r="D16">
        <f>AVERAGEIFS([1]Country_Year_Medals!H:H,[1]Country_Year_Medals!A:A,$A16)</f>
        <v>10.5</v>
      </c>
      <c r="E16">
        <f>AVERAGEIFS([1]Country_Year_Medals!K:K,[1]Country_Year_Medals!A:A,$A16)</f>
        <v>2</v>
      </c>
      <c r="F16">
        <f t="shared" si="0"/>
        <v>24.5</v>
      </c>
      <c r="G16">
        <f>AVERAGEIFS([1]Country_Year_Medals!J:J,[1]Country_Year_Medals!A:A,$A16)</f>
        <v>1.4857509627727856</v>
      </c>
    </row>
    <row r="17" spans="1:7">
      <c r="A17" t="s">
        <v>9</v>
      </c>
      <c r="B17" s="3">
        <f>AVERAGEIF([1]Country_Year_Medals!$A:$A,$A17,[1]Country_Year_Medals!$F:$F)</f>
        <v>-14</v>
      </c>
      <c r="C17">
        <f>AVERAGEIF([1]Country_Year_Medals!$A:$A,$A17,[1]Country_Year_Medals!$G:$G)</f>
        <v>146.33333333333334</v>
      </c>
      <c r="D17">
        <f>AVERAGEIFS([1]Country_Year_Medals!H:H,[1]Country_Year_Medals!A:A,$A17)</f>
        <v>10.5</v>
      </c>
      <c r="E17">
        <f>AVERAGEIFS([1]Country_Year_Medals!K:K,[1]Country_Year_Medals!A:A,$A17)</f>
        <v>2</v>
      </c>
      <c r="F17">
        <f t="shared" si="0"/>
        <v>24.5</v>
      </c>
      <c r="G17">
        <f>AVERAGEIFS([1]Country_Year_Medals!J:J,[1]Country_Year_Medals!A:A,$A17)</f>
        <v>1.4857509627727856</v>
      </c>
    </row>
    <row r="18" spans="1:7">
      <c r="A18" t="s">
        <v>10</v>
      </c>
      <c r="B18" s="3">
        <f>AVERAGEIF([1]Country_Year_Medals!$A:$A,$A18,[1]Country_Year_Medals!$F:$F)</f>
        <v>-0.33333333333333331</v>
      </c>
      <c r="C18">
        <f>AVERAGEIF([1]Country_Year_Medals!$A:$A,$A18,[1]Country_Year_Medals!$G:$G)</f>
        <v>48</v>
      </c>
      <c r="D18">
        <f>AVERAGEIFS([1]Country_Year_Medals!H:H,[1]Country_Year_Medals!A:A,$A18)</f>
        <v>2.3333333333333335</v>
      </c>
      <c r="E18">
        <f>AVERAGEIFS([1]Country_Year_Medals!K:K,[1]Country_Year_Medals!A:A,$A18)</f>
        <v>2</v>
      </c>
      <c r="F18">
        <f t="shared" si="0"/>
        <v>2.666666666666667</v>
      </c>
      <c r="G18">
        <f>AVERAGEIFS([1]Country_Year_Medals!J:J,[1]Country_Year_Medals!A:A,$A18)</f>
        <v>0.8265542328042329</v>
      </c>
    </row>
    <row r="19" spans="1:7">
      <c r="A19" t="s">
        <v>10</v>
      </c>
      <c r="B19" s="3">
        <f>AVERAGEIF([1]Country_Year_Medals!$A:$A,$A19,[1]Country_Year_Medals!$F:$F)</f>
        <v>-0.33333333333333331</v>
      </c>
      <c r="C19">
        <f>AVERAGEIF([1]Country_Year_Medals!$A:$A,$A19,[1]Country_Year_Medals!$G:$G)</f>
        <v>48</v>
      </c>
      <c r="D19">
        <f>AVERAGEIFS([1]Country_Year_Medals!H:H,[1]Country_Year_Medals!A:A,$A19)</f>
        <v>2.3333333333333335</v>
      </c>
      <c r="E19">
        <f>AVERAGEIFS([1]Country_Year_Medals!K:K,[1]Country_Year_Medals!A:A,$A19)</f>
        <v>2</v>
      </c>
      <c r="F19">
        <f t="shared" si="0"/>
        <v>2.666666666666667</v>
      </c>
      <c r="G19">
        <f>AVERAGEIFS([1]Country_Year_Medals!J:J,[1]Country_Year_Medals!A:A,$A19)</f>
        <v>0.8265542328042329</v>
      </c>
    </row>
    <row r="20" spans="1:7">
      <c r="A20" t="s">
        <v>10</v>
      </c>
      <c r="B20" s="3">
        <f>AVERAGEIF([1]Country_Year_Medals!$A:$A,$A20,[1]Country_Year_Medals!$F:$F)</f>
        <v>-0.33333333333333331</v>
      </c>
      <c r="C20">
        <f>AVERAGEIF([1]Country_Year_Medals!$A:$A,$A20,[1]Country_Year_Medals!$G:$G)</f>
        <v>48</v>
      </c>
      <c r="D20">
        <f>AVERAGEIFS([1]Country_Year_Medals!H:H,[1]Country_Year_Medals!A:A,$A20)</f>
        <v>2.3333333333333335</v>
      </c>
      <c r="E20">
        <f>AVERAGEIFS([1]Country_Year_Medals!K:K,[1]Country_Year_Medals!A:A,$A20)</f>
        <v>2</v>
      </c>
      <c r="F20">
        <f t="shared" si="0"/>
        <v>2.666666666666667</v>
      </c>
      <c r="G20">
        <f>AVERAGEIFS([1]Country_Year_Medals!J:J,[1]Country_Year_Medals!A:A,$A20)</f>
        <v>0.8265542328042329</v>
      </c>
    </row>
    <row r="21" spans="1:7">
      <c r="A21" t="s">
        <v>10</v>
      </c>
      <c r="B21" s="3">
        <f>AVERAGEIF([1]Country_Year_Medals!$A:$A,$A21,[1]Country_Year_Medals!$F:$F)</f>
        <v>-0.33333333333333331</v>
      </c>
      <c r="C21">
        <f>AVERAGEIF([1]Country_Year_Medals!$A:$A,$A21,[1]Country_Year_Medals!$G:$G)</f>
        <v>48</v>
      </c>
      <c r="D21">
        <f>AVERAGEIFS([1]Country_Year_Medals!H:H,[1]Country_Year_Medals!A:A,$A21)</f>
        <v>2.3333333333333335</v>
      </c>
      <c r="E21">
        <f>AVERAGEIFS([1]Country_Year_Medals!K:K,[1]Country_Year_Medals!A:A,$A21)</f>
        <v>2</v>
      </c>
      <c r="F21">
        <f t="shared" si="0"/>
        <v>2.666666666666667</v>
      </c>
      <c r="G21">
        <f>AVERAGEIFS([1]Country_Year_Medals!J:J,[1]Country_Year_Medals!A:A,$A21)</f>
        <v>0.8265542328042329</v>
      </c>
    </row>
    <row r="22" spans="1:7">
      <c r="A22" t="s">
        <v>11</v>
      </c>
      <c r="B22" s="3">
        <f>AVERAGEIF([1]Country_Year_Medals!$A:$A,$A22,[1]Country_Year_Medals!$F:$F)</f>
        <v>3.25</v>
      </c>
      <c r="C22">
        <f>AVERAGEIF([1]Country_Year_Medals!$A:$A,$A22,[1]Country_Year_Medals!$G:$G)</f>
        <v>27</v>
      </c>
      <c r="D22">
        <f>AVERAGEIFS([1]Country_Year_Medals!H:H,[1]Country_Year_Medals!A:A,$A22)</f>
        <v>3.875</v>
      </c>
      <c r="E22">
        <f>AVERAGEIFS([1]Country_Year_Medals!K:K,[1]Country_Year_Medals!A:A,$A22)</f>
        <v>1.875</v>
      </c>
      <c r="F22">
        <f t="shared" si="0"/>
        <v>0.625</v>
      </c>
      <c r="G22">
        <f>AVERAGEIFS([1]Country_Year_Medals!J:J,[1]Country_Year_Medals!A:A,$A22)</f>
        <v>0.9312088590729698</v>
      </c>
    </row>
    <row r="23" spans="1:7">
      <c r="A23" t="s">
        <v>11</v>
      </c>
      <c r="B23" s="3">
        <f>AVERAGEIF([1]Country_Year_Medals!$A:$A,$A23,[1]Country_Year_Medals!$F:$F)</f>
        <v>3.25</v>
      </c>
      <c r="C23">
        <f>AVERAGEIF([1]Country_Year_Medals!$A:$A,$A23,[1]Country_Year_Medals!$G:$G)</f>
        <v>27</v>
      </c>
      <c r="D23">
        <f>AVERAGEIFS([1]Country_Year_Medals!H:H,[1]Country_Year_Medals!A:A,$A23)</f>
        <v>3.875</v>
      </c>
      <c r="E23">
        <f>AVERAGEIFS([1]Country_Year_Medals!K:K,[1]Country_Year_Medals!A:A,$A23)</f>
        <v>1.875</v>
      </c>
      <c r="F23">
        <f t="shared" si="0"/>
        <v>0.625</v>
      </c>
      <c r="G23">
        <f>AVERAGEIFS([1]Country_Year_Medals!J:J,[1]Country_Year_Medals!A:A,$A23)</f>
        <v>0.9312088590729698</v>
      </c>
    </row>
    <row r="24" spans="1:7">
      <c r="A24" t="s">
        <v>11</v>
      </c>
      <c r="B24" s="3">
        <f>AVERAGEIF([1]Country_Year_Medals!$A:$A,$A24,[1]Country_Year_Medals!$F:$F)</f>
        <v>3.25</v>
      </c>
      <c r="C24">
        <f>AVERAGEIF([1]Country_Year_Medals!$A:$A,$A24,[1]Country_Year_Medals!$G:$G)</f>
        <v>27</v>
      </c>
      <c r="D24">
        <f>AVERAGEIFS([1]Country_Year_Medals!H:H,[1]Country_Year_Medals!A:A,$A24)</f>
        <v>3.875</v>
      </c>
      <c r="E24">
        <f>AVERAGEIFS([1]Country_Year_Medals!K:K,[1]Country_Year_Medals!A:A,$A24)</f>
        <v>1.875</v>
      </c>
      <c r="F24">
        <f t="shared" si="0"/>
        <v>0.625</v>
      </c>
      <c r="G24">
        <f>AVERAGEIFS([1]Country_Year_Medals!J:J,[1]Country_Year_Medals!A:A,$A24)</f>
        <v>0.9312088590729698</v>
      </c>
    </row>
    <row r="25" spans="1:7">
      <c r="A25" t="s">
        <v>11</v>
      </c>
      <c r="B25" s="3">
        <f>AVERAGEIF([1]Country_Year_Medals!$A:$A,$A25,[1]Country_Year_Medals!$F:$F)</f>
        <v>3.25</v>
      </c>
      <c r="C25">
        <f>AVERAGEIF([1]Country_Year_Medals!$A:$A,$A25,[1]Country_Year_Medals!$G:$G)</f>
        <v>27</v>
      </c>
      <c r="D25">
        <f>AVERAGEIFS([1]Country_Year_Medals!H:H,[1]Country_Year_Medals!A:A,$A25)</f>
        <v>3.875</v>
      </c>
      <c r="E25">
        <f>AVERAGEIFS([1]Country_Year_Medals!K:K,[1]Country_Year_Medals!A:A,$A25)</f>
        <v>1.875</v>
      </c>
      <c r="F25">
        <f t="shared" si="0"/>
        <v>0.625</v>
      </c>
      <c r="G25">
        <f>AVERAGEIFS([1]Country_Year_Medals!J:J,[1]Country_Year_Medals!A:A,$A25)</f>
        <v>0.9312088590729698</v>
      </c>
    </row>
    <row r="26" spans="1:7">
      <c r="A26" t="s">
        <v>11</v>
      </c>
      <c r="B26" s="3">
        <f>AVERAGEIF([1]Country_Year_Medals!$A:$A,$A26,[1]Country_Year_Medals!$F:$F)</f>
        <v>3.25</v>
      </c>
      <c r="C26">
        <f>AVERAGEIF([1]Country_Year_Medals!$A:$A,$A26,[1]Country_Year_Medals!$G:$G)</f>
        <v>27</v>
      </c>
      <c r="D26">
        <f>AVERAGEIFS([1]Country_Year_Medals!H:H,[1]Country_Year_Medals!A:A,$A26)</f>
        <v>3.875</v>
      </c>
      <c r="E26">
        <f>AVERAGEIFS([1]Country_Year_Medals!K:K,[1]Country_Year_Medals!A:A,$A26)</f>
        <v>1.875</v>
      </c>
      <c r="F26">
        <f t="shared" si="0"/>
        <v>0.625</v>
      </c>
      <c r="G26">
        <f>AVERAGEIFS([1]Country_Year_Medals!J:J,[1]Country_Year_Medals!A:A,$A26)</f>
        <v>0.9312088590729698</v>
      </c>
    </row>
    <row r="27" spans="1:7">
      <c r="A27" t="s">
        <v>11</v>
      </c>
      <c r="B27" s="3">
        <f>AVERAGEIF([1]Country_Year_Medals!$A:$A,$A27,[1]Country_Year_Medals!$F:$F)</f>
        <v>3.25</v>
      </c>
      <c r="C27">
        <f>AVERAGEIF([1]Country_Year_Medals!$A:$A,$A27,[1]Country_Year_Medals!$G:$G)</f>
        <v>27</v>
      </c>
      <c r="D27">
        <f>AVERAGEIFS([1]Country_Year_Medals!H:H,[1]Country_Year_Medals!A:A,$A27)</f>
        <v>3.875</v>
      </c>
      <c r="E27">
        <f>AVERAGEIFS([1]Country_Year_Medals!K:K,[1]Country_Year_Medals!A:A,$A27)</f>
        <v>1.875</v>
      </c>
      <c r="F27">
        <f t="shared" si="0"/>
        <v>0.625</v>
      </c>
      <c r="G27">
        <f>AVERAGEIFS([1]Country_Year_Medals!J:J,[1]Country_Year_Medals!A:A,$A27)</f>
        <v>0.9312088590729698</v>
      </c>
    </row>
    <row r="28" spans="1:7">
      <c r="A28" t="s">
        <v>11</v>
      </c>
      <c r="B28" s="3">
        <f>AVERAGEIF([1]Country_Year_Medals!$A:$A,$A28,[1]Country_Year_Medals!$F:$F)</f>
        <v>3.25</v>
      </c>
      <c r="C28">
        <f>AVERAGEIF([1]Country_Year_Medals!$A:$A,$A28,[1]Country_Year_Medals!$G:$G)</f>
        <v>27</v>
      </c>
      <c r="D28">
        <f>AVERAGEIFS([1]Country_Year_Medals!H:H,[1]Country_Year_Medals!A:A,$A28)</f>
        <v>3.875</v>
      </c>
      <c r="E28">
        <f>AVERAGEIFS([1]Country_Year_Medals!K:K,[1]Country_Year_Medals!A:A,$A28)</f>
        <v>1.875</v>
      </c>
      <c r="F28">
        <f t="shared" si="0"/>
        <v>0.625</v>
      </c>
      <c r="G28">
        <f>AVERAGEIFS([1]Country_Year_Medals!J:J,[1]Country_Year_Medals!A:A,$A28)</f>
        <v>0.9312088590729698</v>
      </c>
    </row>
    <row r="29" spans="1:7">
      <c r="A29" t="s">
        <v>11</v>
      </c>
      <c r="B29" s="3">
        <f>AVERAGEIF([1]Country_Year_Medals!$A:$A,$A29,[1]Country_Year_Medals!$F:$F)</f>
        <v>3.25</v>
      </c>
      <c r="C29">
        <f>AVERAGEIF([1]Country_Year_Medals!$A:$A,$A29,[1]Country_Year_Medals!$G:$G)</f>
        <v>27</v>
      </c>
      <c r="D29">
        <f>AVERAGEIFS([1]Country_Year_Medals!H:H,[1]Country_Year_Medals!A:A,$A29)</f>
        <v>3.875</v>
      </c>
      <c r="E29">
        <f>AVERAGEIFS([1]Country_Year_Medals!K:K,[1]Country_Year_Medals!A:A,$A29)</f>
        <v>1.875</v>
      </c>
      <c r="F29">
        <f t="shared" si="0"/>
        <v>0.625</v>
      </c>
      <c r="G29">
        <f>AVERAGEIFS([1]Country_Year_Medals!J:J,[1]Country_Year_Medals!A:A,$A29)</f>
        <v>0.9312088590729698</v>
      </c>
    </row>
    <row r="30" spans="1:7">
      <c r="A30" t="s">
        <v>11</v>
      </c>
      <c r="B30" s="3">
        <f>AVERAGEIF([1]Country_Year_Medals!$A:$A,$A30,[1]Country_Year_Medals!$F:$F)</f>
        <v>3.25</v>
      </c>
      <c r="C30">
        <f>AVERAGEIF([1]Country_Year_Medals!$A:$A,$A30,[1]Country_Year_Medals!$G:$G)</f>
        <v>27</v>
      </c>
      <c r="D30">
        <f>AVERAGEIFS([1]Country_Year_Medals!H:H,[1]Country_Year_Medals!A:A,$A30)</f>
        <v>3.875</v>
      </c>
      <c r="E30">
        <f>AVERAGEIFS([1]Country_Year_Medals!K:K,[1]Country_Year_Medals!A:A,$A30)</f>
        <v>1.875</v>
      </c>
      <c r="F30">
        <f t="shared" si="0"/>
        <v>0.625</v>
      </c>
      <c r="G30">
        <f>AVERAGEIFS([1]Country_Year_Medals!J:J,[1]Country_Year_Medals!A:A,$A30)</f>
        <v>0.9312088590729698</v>
      </c>
    </row>
    <row r="31" spans="1:7">
      <c r="A31" t="s">
        <v>12</v>
      </c>
      <c r="B31" s="3">
        <f>AVERAGEIF([1]Country_Year_Medals!$A:$A,$A31,[1]Country_Year_Medals!$F:$F)</f>
        <v>6.666666666666667</v>
      </c>
      <c r="C31">
        <f>AVERAGEIF([1]Country_Year_Medals!$A:$A,$A31,[1]Country_Year_Medals!$G:$G)</f>
        <v>33.428571428571431</v>
      </c>
      <c r="D31">
        <f>AVERAGEIFS([1]Country_Year_Medals!H:H,[1]Country_Year_Medals!A:A,$A31)</f>
        <v>8</v>
      </c>
      <c r="E31">
        <f>AVERAGEIFS([1]Country_Year_Medals!K:K,[1]Country_Year_Medals!A:A,$A31)</f>
        <v>1.6666666666666667</v>
      </c>
      <c r="F31">
        <f t="shared" si="0"/>
        <v>1.333333333333333</v>
      </c>
      <c r="G31">
        <f>AVERAGEIFS([1]Country_Year_Medals!J:J,[1]Country_Year_Medals!A:A,$A31)</f>
        <v>1.5529322991222523</v>
      </c>
    </row>
    <row r="32" spans="1:7">
      <c r="A32" t="s">
        <v>12</v>
      </c>
      <c r="B32" s="3">
        <f>AVERAGEIF([1]Country_Year_Medals!$A:$A,$A32,[1]Country_Year_Medals!$F:$F)</f>
        <v>6.666666666666667</v>
      </c>
      <c r="C32">
        <f>AVERAGEIF([1]Country_Year_Medals!$A:$A,$A32,[1]Country_Year_Medals!$G:$G)</f>
        <v>33.428571428571431</v>
      </c>
      <c r="D32">
        <f>AVERAGEIFS([1]Country_Year_Medals!H:H,[1]Country_Year_Medals!A:A,$A32)</f>
        <v>8</v>
      </c>
      <c r="E32">
        <f>AVERAGEIFS([1]Country_Year_Medals!K:K,[1]Country_Year_Medals!A:A,$A32)</f>
        <v>1.6666666666666667</v>
      </c>
      <c r="F32">
        <f t="shared" si="0"/>
        <v>1.333333333333333</v>
      </c>
      <c r="G32">
        <f>AVERAGEIFS([1]Country_Year_Medals!J:J,[1]Country_Year_Medals!A:A,$A32)</f>
        <v>1.5529322991222523</v>
      </c>
    </row>
    <row r="33" spans="1:7">
      <c r="A33" t="s">
        <v>12</v>
      </c>
      <c r="B33" s="3">
        <f>AVERAGEIF([1]Country_Year_Medals!$A:$A,$A33,[1]Country_Year_Medals!$F:$F)</f>
        <v>6.666666666666667</v>
      </c>
      <c r="C33">
        <f>AVERAGEIF([1]Country_Year_Medals!$A:$A,$A33,[1]Country_Year_Medals!$G:$G)</f>
        <v>33.428571428571431</v>
      </c>
      <c r="D33">
        <f>AVERAGEIFS([1]Country_Year_Medals!H:H,[1]Country_Year_Medals!A:A,$A33)</f>
        <v>8</v>
      </c>
      <c r="E33">
        <f>AVERAGEIFS([1]Country_Year_Medals!K:K,[1]Country_Year_Medals!A:A,$A33)</f>
        <v>1.6666666666666667</v>
      </c>
      <c r="F33">
        <f t="shared" si="0"/>
        <v>1.333333333333333</v>
      </c>
      <c r="G33">
        <f>AVERAGEIFS([1]Country_Year_Medals!J:J,[1]Country_Year_Medals!A:A,$A33)</f>
        <v>1.5529322991222523</v>
      </c>
    </row>
    <row r="34" spans="1:7">
      <c r="A34" t="s">
        <v>12</v>
      </c>
      <c r="B34" s="3">
        <f>AVERAGEIF([1]Country_Year_Medals!$A:$A,$A34,[1]Country_Year_Medals!$F:$F)</f>
        <v>6.666666666666667</v>
      </c>
      <c r="C34">
        <f>AVERAGEIF([1]Country_Year_Medals!$A:$A,$A34,[1]Country_Year_Medals!$G:$G)</f>
        <v>33.428571428571431</v>
      </c>
      <c r="D34">
        <f>AVERAGEIFS([1]Country_Year_Medals!H:H,[1]Country_Year_Medals!A:A,$A34)</f>
        <v>8</v>
      </c>
      <c r="E34">
        <f>AVERAGEIFS([1]Country_Year_Medals!K:K,[1]Country_Year_Medals!A:A,$A34)</f>
        <v>1.6666666666666667</v>
      </c>
      <c r="F34">
        <f t="shared" si="0"/>
        <v>1.333333333333333</v>
      </c>
      <c r="G34">
        <f>AVERAGEIFS([1]Country_Year_Medals!J:J,[1]Country_Year_Medals!A:A,$A34)</f>
        <v>1.5529322991222523</v>
      </c>
    </row>
    <row r="35" spans="1:7">
      <c r="A35" t="s">
        <v>12</v>
      </c>
      <c r="B35" s="3">
        <f>AVERAGEIF([1]Country_Year_Medals!$A:$A,$A35,[1]Country_Year_Medals!$F:$F)</f>
        <v>6.666666666666667</v>
      </c>
      <c r="C35">
        <f>AVERAGEIF([1]Country_Year_Medals!$A:$A,$A35,[1]Country_Year_Medals!$G:$G)</f>
        <v>33.428571428571431</v>
      </c>
      <c r="D35">
        <f>AVERAGEIFS([1]Country_Year_Medals!H:H,[1]Country_Year_Medals!A:A,$A35)</f>
        <v>8</v>
      </c>
      <c r="E35">
        <f>AVERAGEIFS([1]Country_Year_Medals!K:K,[1]Country_Year_Medals!A:A,$A35)</f>
        <v>1.6666666666666667</v>
      </c>
      <c r="F35">
        <f t="shared" si="0"/>
        <v>1.333333333333333</v>
      </c>
      <c r="G35">
        <f>AVERAGEIFS([1]Country_Year_Medals!J:J,[1]Country_Year_Medals!A:A,$A35)</f>
        <v>1.5529322991222523</v>
      </c>
    </row>
    <row r="36" spans="1:7">
      <c r="A36" t="s">
        <v>12</v>
      </c>
      <c r="B36" s="3">
        <f>AVERAGEIF([1]Country_Year_Medals!$A:$A,$A36,[1]Country_Year_Medals!$F:$F)</f>
        <v>6.666666666666667</v>
      </c>
      <c r="C36">
        <f>AVERAGEIF([1]Country_Year_Medals!$A:$A,$A36,[1]Country_Year_Medals!$G:$G)</f>
        <v>33.428571428571431</v>
      </c>
      <c r="D36">
        <f>AVERAGEIFS([1]Country_Year_Medals!H:H,[1]Country_Year_Medals!A:A,$A36)</f>
        <v>8</v>
      </c>
      <c r="E36">
        <f>AVERAGEIFS([1]Country_Year_Medals!K:K,[1]Country_Year_Medals!A:A,$A36)</f>
        <v>1.6666666666666667</v>
      </c>
      <c r="F36">
        <f t="shared" si="0"/>
        <v>1.333333333333333</v>
      </c>
      <c r="G36">
        <f>AVERAGEIFS([1]Country_Year_Medals!J:J,[1]Country_Year_Medals!A:A,$A36)</f>
        <v>1.5529322991222523</v>
      </c>
    </row>
    <row r="37" spans="1:7">
      <c r="A37" t="s">
        <v>12</v>
      </c>
      <c r="B37" s="3">
        <f>AVERAGEIF([1]Country_Year_Medals!$A:$A,$A37,[1]Country_Year_Medals!$F:$F)</f>
        <v>6.666666666666667</v>
      </c>
      <c r="C37">
        <f>AVERAGEIF([1]Country_Year_Medals!$A:$A,$A37,[1]Country_Year_Medals!$G:$G)</f>
        <v>33.428571428571431</v>
      </c>
      <c r="D37">
        <f>AVERAGEIFS([1]Country_Year_Medals!H:H,[1]Country_Year_Medals!A:A,$A37)</f>
        <v>8</v>
      </c>
      <c r="E37">
        <f>AVERAGEIFS([1]Country_Year_Medals!K:K,[1]Country_Year_Medals!A:A,$A37)</f>
        <v>1.6666666666666667</v>
      </c>
      <c r="F37">
        <f t="shared" si="0"/>
        <v>1.333333333333333</v>
      </c>
      <c r="G37">
        <f>AVERAGEIFS([1]Country_Year_Medals!J:J,[1]Country_Year_Medals!A:A,$A37)</f>
        <v>1.5529322991222523</v>
      </c>
    </row>
  </sheetData>
  <autoFilter ref="A1:E1" xr:uid="{A518B535-BE86-452B-9F85-F4E930F1A3BF}">
    <sortState xmlns:xlrd2="http://schemas.microsoft.com/office/spreadsheetml/2017/richdata2" ref="A2:E37">
      <sortCondition descending="1"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2026-02-25T16:36:28Z</dcterms:created>
  <dcterms:modified xsi:type="dcterms:W3CDTF">2026-02-25T18:00:14Z</dcterms:modified>
</cp:coreProperties>
</file>