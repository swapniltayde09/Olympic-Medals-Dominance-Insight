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39eb73a9c34507/Personal_Projects/Unified_Mentor/Olympics Data Analysis_Excel/"/>
    </mc:Choice>
  </mc:AlternateContent>
  <xr:revisionPtr revIDLastSave="0" documentId="8_{9B2AFB21-D59E-4718-9509-0AF8D2C78CA4}" xr6:coauthVersionLast="47" xr6:coauthVersionMax="47" xr10:uidLastSave="{00000000-0000-0000-0000-000000000000}"/>
  <bookViews>
    <workbookView xWindow="28690" yWindow="-110" windowWidth="29020" windowHeight="15700" xr2:uid="{7F2B29E8-5A7C-4902-8CA6-710F4FAFB748}"/>
  </bookViews>
  <sheets>
    <sheet name="Country_Year_Med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F38" i="1"/>
  <c r="D38" i="1"/>
  <c r="K37" i="1"/>
  <c r="J37" i="1"/>
  <c r="H37" i="1"/>
  <c r="I37" i="1" s="1"/>
  <c r="F37" i="1"/>
  <c r="K36" i="1" s="1"/>
  <c r="D37" i="1"/>
  <c r="J36" i="1"/>
  <c r="H36" i="1"/>
  <c r="I36" i="1" s="1"/>
  <c r="F36" i="1"/>
  <c r="K35" i="1" s="1"/>
  <c r="D36" i="1"/>
  <c r="J35" i="1"/>
  <c r="I35" i="1"/>
  <c r="H35" i="1"/>
  <c r="F35" i="1"/>
  <c r="D35" i="1"/>
  <c r="K34" i="1"/>
  <c r="J34" i="1"/>
  <c r="I34" i="1"/>
  <c r="H34" i="1"/>
  <c r="F34" i="1"/>
  <c r="D34" i="1"/>
  <c r="K33" i="1"/>
  <c r="J33" i="1"/>
  <c r="H33" i="1"/>
  <c r="I33" i="1" s="1"/>
  <c r="F33" i="1"/>
  <c r="K32" i="1" s="1"/>
  <c r="D33" i="1"/>
  <c r="J32" i="1"/>
  <c r="H32" i="1"/>
  <c r="F32" i="1"/>
  <c r="K31" i="1" s="1"/>
  <c r="D32" i="1"/>
  <c r="I32" i="1" s="1"/>
  <c r="J31" i="1"/>
  <c r="I31" i="1"/>
  <c r="H31" i="1"/>
  <c r="F31" i="1"/>
  <c r="D31" i="1"/>
  <c r="K30" i="1"/>
  <c r="J30" i="1"/>
  <c r="I30" i="1"/>
  <c r="H30" i="1"/>
  <c r="F30" i="1"/>
  <c r="K29" i="1" s="1"/>
  <c r="D30" i="1"/>
  <c r="J29" i="1"/>
  <c r="H29" i="1"/>
  <c r="I29" i="1" s="1"/>
  <c r="F29" i="1"/>
  <c r="K28" i="1" s="1"/>
  <c r="D29" i="1"/>
  <c r="J28" i="1"/>
  <c r="H28" i="1"/>
  <c r="F28" i="1"/>
  <c r="K27" i="1" s="1"/>
  <c r="D28" i="1"/>
  <c r="I28" i="1" s="1"/>
  <c r="J27" i="1"/>
  <c r="I27" i="1"/>
  <c r="H27" i="1"/>
  <c r="F27" i="1"/>
  <c r="D27" i="1"/>
  <c r="K26" i="1"/>
  <c r="J26" i="1"/>
  <c r="I26" i="1"/>
  <c r="H26" i="1"/>
  <c r="F26" i="1"/>
  <c r="K25" i="1" s="1"/>
  <c r="D26" i="1"/>
  <c r="J25" i="1"/>
  <c r="H25" i="1"/>
  <c r="I25" i="1" s="1"/>
  <c r="F25" i="1"/>
  <c r="K24" i="1" s="1"/>
  <c r="D25" i="1"/>
  <c r="J24" i="1"/>
  <c r="H24" i="1"/>
  <c r="F24" i="1"/>
  <c r="K23" i="1" s="1"/>
  <c r="D24" i="1"/>
  <c r="I24" i="1" s="1"/>
  <c r="J23" i="1"/>
  <c r="I23" i="1"/>
  <c r="H23" i="1"/>
  <c r="F23" i="1"/>
  <c r="D23" i="1"/>
  <c r="K22" i="1"/>
  <c r="J22" i="1"/>
  <c r="I22" i="1"/>
  <c r="H22" i="1"/>
  <c r="F22" i="1"/>
  <c r="D22" i="1"/>
  <c r="K21" i="1"/>
  <c r="J21" i="1"/>
  <c r="H21" i="1"/>
  <c r="I21" i="1" s="1"/>
  <c r="F21" i="1"/>
  <c r="K20" i="1" s="1"/>
  <c r="D21" i="1"/>
  <c r="J20" i="1"/>
  <c r="H20" i="1"/>
  <c r="F20" i="1"/>
  <c r="K19" i="1" s="1"/>
  <c r="D20" i="1"/>
  <c r="I20" i="1" s="1"/>
  <c r="J19" i="1"/>
  <c r="I19" i="1"/>
  <c r="H19" i="1"/>
  <c r="F19" i="1"/>
  <c r="D19" i="1"/>
  <c r="K18" i="1"/>
  <c r="J18" i="1"/>
  <c r="I18" i="1"/>
  <c r="H18" i="1"/>
  <c r="F18" i="1"/>
  <c r="K17" i="1" s="1"/>
  <c r="D18" i="1"/>
  <c r="J17" i="1"/>
  <c r="H17" i="1"/>
  <c r="I17" i="1" s="1"/>
  <c r="F17" i="1"/>
  <c r="K16" i="1" s="1"/>
  <c r="D17" i="1"/>
  <c r="J16" i="1"/>
  <c r="H16" i="1"/>
  <c r="F16" i="1"/>
  <c r="K15" i="1" s="1"/>
  <c r="D16" i="1"/>
  <c r="I16" i="1" s="1"/>
  <c r="J15" i="1"/>
  <c r="I15" i="1"/>
  <c r="H15" i="1"/>
  <c r="F15" i="1"/>
  <c r="D15" i="1"/>
  <c r="K14" i="1"/>
  <c r="J14" i="1"/>
  <c r="I14" i="1"/>
  <c r="H14" i="1"/>
  <c r="F14" i="1"/>
  <c r="K13" i="1" s="1"/>
  <c r="D14" i="1"/>
  <c r="J13" i="1"/>
  <c r="I13" i="1"/>
  <c r="H13" i="1"/>
  <c r="F13" i="1"/>
  <c r="D13" i="1"/>
  <c r="K12" i="1"/>
  <c r="J12" i="1"/>
  <c r="H12" i="1"/>
  <c r="F12" i="1"/>
  <c r="K11" i="1" s="1"/>
  <c r="D12" i="1"/>
  <c r="I12" i="1" s="1"/>
  <c r="J11" i="1"/>
  <c r="I11" i="1"/>
  <c r="H11" i="1"/>
  <c r="F11" i="1"/>
  <c r="D11" i="1"/>
  <c r="K10" i="1"/>
  <c r="J10" i="1"/>
  <c r="I10" i="1"/>
  <c r="H10" i="1"/>
  <c r="F10" i="1"/>
  <c r="D10" i="1"/>
  <c r="K9" i="1"/>
  <c r="J9" i="1"/>
  <c r="H9" i="1"/>
  <c r="I9" i="1" s="1"/>
  <c r="F9" i="1"/>
  <c r="K8" i="1" s="1"/>
  <c r="D9" i="1"/>
  <c r="J8" i="1"/>
  <c r="H8" i="1"/>
  <c r="I8" i="1" s="1"/>
  <c r="F8" i="1"/>
  <c r="K7" i="1" s="1"/>
  <c r="D8" i="1"/>
  <c r="J7" i="1"/>
  <c r="I7" i="1"/>
  <c r="H7" i="1"/>
  <c r="F7" i="1"/>
  <c r="D7" i="1"/>
  <c r="K6" i="1"/>
  <c r="J6" i="1"/>
  <c r="I6" i="1"/>
  <c r="H6" i="1"/>
  <c r="F6" i="1"/>
  <c r="K5" i="1" s="1"/>
  <c r="D6" i="1"/>
  <c r="J5" i="1"/>
  <c r="H5" i="1"/>
  <c r="I5" i="1" s="1"/>
  <c r="F5" i="1"/>
  <c r="K4" i="1" s="1"/>
  <c r="D5" i="1"/>
  <c r="J4" i="1"/>
  <c r="H4" i="1"/>
  <c r="I4" i="1" s="1"/>
  <c r="F4" i="1"/>
  <c r="K3" i="1" s="1"/>
  <c r="D4" i="1"/>
  <c r="J3" i="1"/>
  <c r="I3" i="1"/>
  <c r="H3" i="1"/>
  <c r="F3" i="1"/>
  <c r="D3" i="1"/>
  <c r="K2" i="1"/>
  <c r="J2" i="1"/>
</calcChain>
</file>

<file path=xl/sharedStrings.xml><?xml version="1.0" encoding="utf-8"?>
<sst xmlns="http://schemas.openxmlformats.org/spreadsheetml/2006/main" count="82" uniqueCount="26">
  <si>
    <t>Country</t>
  </si>
  <si>
    <t>Year</t>
  </si>
  <si>
    <t>Bronze</t>
  </si>
  <si>
    <t>ΔBronze</t>
  </si>
  <si>
    <t>Silver</t>
  </si>
  <si>
    <t xml:space="preserve"> ΔSilver</t>
  </si>
  <si>
    <t>Gold</t>
  </si>
  <si>
    <t xml:space="preserve"> ΔGold</t>
  </si>
  <si>
    <t>Net Upgrade</t>
  </si>
  <si>
    <t>Gold/Bronze Ratio</t>
  </si>
  <si>
    <t>Success Score</t>
  </si>
  <si>
    <t>United States</t>
  </si>
  <si>
    <t>1976</t>
  </si>
  <si>
    <t>1988</t>
  </si>
  <si>
    <t>1992</t>
  </si>
  <si>
    <t>1996</t>
  </si>
  <si>
    <t>2000</t>
  </si>
  <si>
    <t>2004</t>
  </si>
  <si>
    <t>2008</t>
  </si>
  <si>
    <t>Soviet Union</t>
  </si>
  <si>
    <t>1980</t>
  </si>
  <si>
    <t>Australia</t>
  </si>
  <si>
    <t>1984</t>
  </si>
  <si>
    <t>Germany</t>
  </si>
  <si>
    <t>China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</si>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</sst>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7949C5B-9B20-4377-BE6F-5723505289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E869-8646-4AAF-B90A-27C0E522D3F7}">
  <dimension ref="A1:K38"/>
  <sheetViews>
    <sheetView tabSelected="1" workbookViewId="0">
      <selection activeCell="N22" sqref="N22"/>
    </sheetView>
  </sheetViews>
  <sheetFormatPr defaultRowHeight="14.5" x14ac:dyDescent="0.35"/>
  <cols>
    <col min="1" max="1" width="16.81640625" customWidth="1"/>
    <col min="2" max="2" width="7.6328125" style="2" customWidth="1"/>
  </cols>
  <sheetData>
    <row r="1" spans="1:11" s="1" customFormat="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2" t="s">
        <v>12</v>
      </c>
      <c r="C2">
        <v>36</v>
      </c>
      <c r="E2">
        <v>56</v>
      </c>
      <c r="G2">
        <v>63</v>
      </c>
      <c r="J2" t="str">
        <f>IF(A2=A1, IF(C2=0,0,G2/C2), "")</f>
        <v/>
      </c>
      <c r="K2">
        <f>IF(A3=A2, (F3&lt;0)+(G3&gt;F3)+(H3&gt;0), "")</f>
        <v>2</v>
      </c>
    </row>
    <row r="3" spans="1:11" x14ac:dyDescent="0.35">
      <c r="A3" t="s">
        <v>11</v>
      </c>
      <c r="B3" s="3">
        <v>1984</v>
      </c>
      <c r="C3">
        <v>50</v>
      </c>
      <c r="D3">
        <f>IF(A3=A2, C3-C2, "")</f>
        <v>14</v>
      </c>
      <c r="E3">
        <v>115</v>
      </c>
      <c r="F3">
        <f>IF(A3=A2, E3-E2, "")</f>
        <v>59</v>
      </c>
      <c r="G3">
        <v>168</v>
      </c>
      <c r="H3">
        <f>IF(A3=A2, G3-G2, "")</f>
        <v>105</v>
      </c>
      <c r="I3">
        <f>IF(A3=A2, H3-D3, 0)</f>
        <v>91</v>
      </c>
      <c r="J3">
        <f>IF(A3=A2, IF(C3=0,0,G3/C3), "")</f>
        <v>3.36</v>
      </c>
      <c r="K3">
        <f t="shared" ref="K3:K38" si="0">IF(A4=A3, (F4&lt;0)+(G4&gt;F4)+(H4&gt;0), "")</f>
        <v>2</v>
      </c>
    </row>
    <row r="4" spans="1:11" x14ac:dyDescent="0.35">
      <c r="A4" t="s">
        <v>11</v>
      </c>
      <c r="B4" s="2" t="s">
        <v>13</v>
      </c>
      <c r="C4">
        <v>52</v>
      </c>
      <c r="D4">
        <f>IF(A4=A3, C4-C3, "")</f>
        <v>2</v>
      </c>
      <c r="E4">
        <v>64</v>
      </c>
      <c r="F4">
        <f>IF(A4=A3, E4-E3, "")</f>
        <v>-51</v>
      </c>
      <c r="G4">
        <v>77</v>
      </c>
      <c r="H4">
        <f>IF(A4=A3, G4-G3, "")</f>
        <v>-91</v>
      </c>
      <c r="I4">
        <f>IF(A4=A3, H4-D4, 0)</f>
        <v>-93</v>
      </c>
      <c r="J4">
        <f t="shared" ref="J4:J37" si="1">IF(A4=A3, IF(C4=0,0,G4/C4), "")</f>
        <v>1.4807692307692308</v>
      </c>
      <c r="K4">
        <f t="shared" si="0"/>
        <v>3</v>
      </c>
    </row>
    <row r="5" spans="1:11" x14ac:dyDescent="0.35">
      <c r="A5" t="s">
        <v>11</v>
      </c>
      <c r="B5" s="2" t="s">
        <v>14</v>
      </c>
      <c r="C5">
        <v>85</v>
      </c>
      <c r="D5">
        <f>IF(A5=A4, C5-C4, "")</f>
        <v>33</v>
      </c>
      <c r="E5">
        <v>50</v>
      </c>
      <c r="F5">
        <f>IF(A5=A4, E5-E4, "")</f>
        <v>-14</v>
      </c>
      <c r="G5">
        <v>89</v>
      </c>
      <c r="H5">
        <f>IF(A5=A4, G5-G4, "")</f>
        <v>12</v>
      </c>
      <c r="I5">
        <f>IF(A5=A4, H5-D5, 0)</f>
        <v>-21</v>
      </c>
      <c r="J5">
        <f t="shared" si="1"/>
        <v>1.0470588235294118</v>
      </c>
      <c r="K5">
        <f t="shared" si="0"/>
        <v>3</v>
      </c>
    </row>
    <row r="6" spans="1:11" x14ac:dyDescent="0.35">
      <c r="A6" t="s">
        <v>11</v>
      </c>
      <c r="B6" s="2" t="s">
        <v>15</v>
      </c>
      <c r="C6">
        <v>52</v>
      </c>
      <c r="D6">
        <f>IF(A6=A5, C6-C5, "")</f>
        <v>-33</v>
      </c>
      <c r="E6">
        <v>48</v>
      </c>
      <c r="F6">
        <f>IF(A6=A5, E6-E5, "")</f>
        <v>-2</v>
      </c>
      <c r="G6">
        <v>160</v>
      </c>
      <c r="H6">
        <f>IF(A6=A5, G6-G5, "")</f>
        <v>71</v>
      </c>
      <c r="I6">
        <f>IF(A6=A5, H6-D6, 0)</f>
        <v>104</v>
      </c>
      <c r="J6">
        <f t="shared" si="1"/>
        <v>3.0769230769230771</v>
      </c>
      <c r="K6">
        <f t="shared" si="0"/>
        <v>1</v>
      </c>
    </row>
    <row r="7" spans="1:11" x14ac:dyDescent="0.35">
      <c r="A7" t="s">
        <v>11</v>
      </c>
      <c r="B7" s="2" t="s">
        <v>16</v>
      </c>
      <c r="C7">
        <v>52</v>
      </c>
      <c r="D7">
        <f>IF(A7=A6, C7-C6, "")</f>
        <v>0</v>
      </c>
      <c r="E7">
        <v>66</v>
      </c>
      <c r="F7">
        <f>IF(A7=A6, E7-E6, "")</f>
        <v>18</v>
      </c>
      <c r="G7">
        <v>130</v>
      </c>
      <c r="H7">
        <f>IF(A7=A6, G7-G6, "")</f>
        <v>-30</v>
      </c>
      <c r="I7">
        <f>IF(A7=A6, H7-D7, 0)</f>
        <v>-30</v>
      </c>
      <c r="J7">
        <f t="shared" si="1"/>
        <v>2.5</v>
      </c>
      <c r="K7">
        <f t="shared" si="0"/>
        <v>1</v>
      </c>
    </row>
    <row r="8" spans="1:11" x14ac:dyDescent="0.35">
      <c r="A8" t="s">
        <v>11</v>
      </c>
      <c r="B8" s="2" t="s">
        <v>17</v>
      </c>
      <c r="C8">
        <v>73</v>
      </c>
      <c r="D8">
        <f>IF(A8=A7, C8-C7, "")</f>
        <v>21</v>
      </c>
      <c r="E8">
        <v>75</v>
      </c>
      <c r="F8">
        <f>IF(A8=A7, E8-E7, "")</f>
        <v>9</v>
      </c>
      <c r="G8">
        <v>116</v>
      </c>
      <c r="H8">
        <f>IF(A8=A7, G8-G7, "")</f>
        <v>-14</v>
      </c>
      <c r="I8">
        <f>IF(A8=A7, H8-D8, 0)</f>
        <v>-35</v>
      </c>
      <c r="J8">
        <f t="shared" si="1"/>
        <v>1.5890410958904109</v>
      </c>
      <c r="K8">
        <f t="shared" si="0"/>
        <v>2</v>
      </c>
    </row>
    <row r="9" spans="1:11" x14ac:dyDescent="0.35">
      <c r="A9" t="s">
        <v>11</v>
      </c>
      <c r="B9" s="2" t="s">
        <v>18</v>
      </c>
      <c r="C9">
        <v>81</v>
      </c>
      <c r="D9">
        <f>IF(A9=A8, C9-C8, "")</f>
        <v>8</v>
      </c>
      <c r="E9">
        <v>109</v>
      </c>
      <c r="F9">
        <f>IF(A9=A8, E9-E8, "")</f>
        <v>34</v>
      </c>
      <c r="G9">
        <v>125</v>
      </c>
      <c r="H9">
        <f>IF(A9=A8, G9-G8, "")</f>
        <v>9</v>
      </c>
      <c r="I9">
        <f>IF(A9=A8, H9-D9, 0)</f>
        <v>1</v>
      </c>
      <c r="J9">
        <f t="shared" si="1"/>
        <v>1.5432098765432098</v>
      </c>
      <c r="K9" t="str">
        <f t="shared" si="0"/>
        <v/>
      </c>
    </row>
    <row r="10" spans="1:11" x14ac:dyDescent="0.35">
      <c r="A10" t="s">
        <v>19</v>
      </c>
      <c r="B10" s="2" t="s">
        <v>12</v>
      </c>
      <c r="C10">
        <v>79</v>
      </c>
      <c r="D10" t="str">
        <f>IF(A10=A9, C10-C9, "")</f>
        <v/>
      </c>
      <c r="E10">
        <v>93</v>
      </c>
      <c r="F10" t="str">
        <f>IF(A10=A9, E10-E9, "")</f>
        <v/>
      </c>
      <c r="G10">
        <v>113</v>
      </c>
      <c r="H10" t="str">
        <f>IF(A10=A9, G10-G9, "")</f>
        <v/>
      </c>
      <c r="I10">
        <f>IF(A10=A9, H10-D10, 0)</f>
        <v>0</v>
      </c>
      <c r="J10" t="str">
        <f t="shared" si="1"/>
        <v/>
      </c>
      <c r="K10">
        <f t="shared" si="0"/>
        <v>2</v>
      </c>
    </row>
    <row r="11" spans="1:11" x14ac:dyDescent="0.35">
      <c r="A11" t="s">
        <v>19</v>
      </c>
      <c r="B11" s="2" t="s">
        <v>20</v>
      </c>
      <c r="C11">
        <v>123</v>
      </c>
      <c r="D11">
        <f>IF(A11=A10, C11-C10, "")</f>
        <v>44</v>
      </c>
      <c r="E11">
        <v>127</v>
      </c>
      <c r="F11">
        <f>IF(A11=A10, E11-E10, "")</f>
        <v>34</v>
      </c>
      <c r="G11">
        <v>192</v>
      </c>
      <c r="H11">
        <f>IF(A11=A10, G11-G10, "")</f>
        <v>79</v>
      </c>
      <c r="I11">
        <f>IF(A11=A10, H11-D11, 0)</f>
        <v>35</v>
      </c>
      <c r="J11">
        <f t="shared" si="1"/>
        <v>1.5609756097560976</v>
      </c>
      <c r="K11">
        <f t="shared" si="0"/>
        <v>2</v>
      </c>
    </row>
    <row r="12" spans="1:11" x14ac:dyDescent="0.35">
      <c r="A12" t="s">
        <v>19</v>
      </c>
      <c r="B12" s="2" t="s">
        <v>13</v>
      </c>
      <c r="C12">
        <v>95</v>
      </c>
      <c r="D12">
        <f>IF(A12=A11, C12-C11, "")</f>
        <v>-28</v>
      </c>
      <c r="E12">
        <v>65</v>
      </c>
      <c r="F12">
        <f>IF(A12=A11, E12-E11, "")</f>
        <v>-62</v>
      </c>
      <c r="G12">
        <v>134</v>
      </c>
      <c r="H12">
        <f>IF(A12=A11, G12-G11, "")</f>
        <v>-58</v>
      </c>
      <c r="I12">
        <f>IF(A12=A11, H12-D12, 0)</f>
        <v>-30</v>
      </c>
      <c r="J12">
        <f t="shared" si="1"/>
        <v>1.4105263157894736</v>
      </c>
      <c r="K12" t="str">
        <f t="shared" si="0"/>
        <v/>
      </c>
    </row>
    <row r="13" spans="1:11" x14ac:dyDescent="0.35">
      <c r="A13" t="s">
        <v>21</v>
      </c>
      <c r="B13" s="2" t="s">
        <v>12</v>
      </c>
      <c r="C13">
        <v>8</v>
      </c>
      <c r="D13" t="str">
        <f>IF(A13=A12, C13-C12, "")</f>
        <v/>
      </c>
      <c r="E13">
        <v>16</v>
      </c>
      <c r="F13" t="str">
        <f>IF(A13=A12, E13-E12, "")</f>
        <v/>
      </c>
      <c r="H13" t="str">
        <f>IF(A13=A12, G13-G12, "")</f>
        <v/>
      </c>
      <c r="I13">
        <f>IF(A13=A12, H13-D13, 0)</f>
        <v>0</v>
      </c>
      <c r="J13" t="str">
        <f t="shared" si="1"/>
        <v/>
      </c>
      <c r="K13">
        <f t="shared" si="0"/>
        <v>3</v>
      </c>
    </row>
    <row r="14" spans="1:11" x14ac:dyDescent="0.35">
      <c r="A14" t="s">
        <v>21</v>
      </c>
      <c r="B14" s="2" t="s">
        <v>20</v>
      </c>
      <c r="C14">
        <v>5</v>
      </c>
      <c r="D14">
        <f>IF(A14=A13, C14-C13, "")</f>
        <v>-3</v>
      </c>
      <c r="E14">
        <v>2</v>
      </c>
      <c r="F14">
        <f>IF(A14=A13, E14-E13, "")</f>
        <v>-14</v>
      </c>
      <c r="G14">
        <v>5</v>
      </c>
      <c r="H14">
        <f>IF(A14=A13, G14-G13, "")</f>
        <v>5</v>
      </c>
      <c r="I14">
        <f>IF(A14=A13, H14-D14, 0)</f>
        <v>8</v>
      </c>
      <c r="J14">
        <f t="shared" si="1"/>
        <v>1</v>
      </c>
      <c r="K14">
        <f t="shared" si="0"/>
        <v>1</v>
      </c>
    </row>
    <row r="15" spans="1:11" x14ac:dyDescent="0.35">
      <c r="A15" t="s">
        <v>21</v>
      </c>
      <c r="B15" s="2" t="s">
        <v>22</v>
      </c>
      <c r="C15">
        <v>29</v>
      </c>
      <c r="D15">
        <f>IF(A15=A14, C15-C14, "")</f>
        <v>24</v>
      </c>
      <c r="E15">
        <v>14</v>
      </c>
      <c r="F15">
        <f>IF(A15=A14, E15-E14, "")</f>
        <v>12</v>
      </c>
      <c r="G15">
        <v>7</v>
      </c>
      <c r="H15">
        <f>IF(A15=A14, G15-G14, "")</f>
        <v>2</v>
      </c>
      <c r="I15">
        <f>IF(A15=A14, H15-D15, 0)</f>
        <v>-22</v>
      </c>
      <c r="J15">
        <f t="shared" si="1"/>
        <v>0.2413793103448276</v>
      </c>
      <c r="K15">
        <f t="shared" si="0"/>
        <v>3</v>
      </c>
    </row>
    <row r="16" spans="1:11" x14ac:dyDescent="0.35">
      <c r="A16" t="s">
        <v>21</v>
      </c>
      <c r="B16" s="2" t="s">
        <v>13</v>
      </c>
      <c r="C16">
        <v>10</v>
      </c>
      <c r="D16">
        <f>IF(A16=A15, C16-C15, "")</f>
        <v>-19</v>
      </c>
      <c r="E16">
        <v>6</v>
      </c>
      <c r="F16">
        <f>IF(A16=A15, E16-E15, "")</f>
        <v>-8</v>
      </c>
      <c r="G16">
        <v>18</v>
      </c>
      <c r="H16">
        <f>IF(A16=A15, G16-G15, "")</f>
        <v>11</v>
      </c>
      <c r="I16">
        <f>IF(A16=A15, H16-D16, 0)</f>
        <v>30</v>
      </c>
      <c r="J16">
        <f t="shared" si="1"/>
        <v>1.8</v>
      </c>
      <c r="K16">
        <f t="shared" si="0"/>
        <v>0</v>
      </c>
    </row>
    <row r="17" spans="1:11" x14ac:dyDescent="0.35">
      <c r="A17" t="s">
        <v>21</v>
      </c>
      <c r="B17" s="2" t="s">
        <v>14</v>
      </c>
      <c r="C17">
        <v>16</v>
      </c>
      <c r="D17">
        <f>IF(A17=A16, C17-C16, "")</f>
        <v>6</v>
      </c>
      <c r="E17">
        <v>27</v>
      </c>
      <c r="F17">
        <f>IF(A17=A16, E17-E16, "")</f>
        <v>21</v>
      </c>
      <c r="G17">
        <v>14</v>
      </c>
      <c r="H17">
        <f>IF(A17=A16, G17-G16, "")</f>
        <v>-4</v>
      </c>
      <c r="I17">
        <f>IF(A17=A16, H17-D17, 0)</f>
        <v>-10</v>
      </c>
      <c r="J17">
        <f t="shared" si="1"/>
        <v>0.875</v>
      </c>
      <c r="K17">
        <f t="shared" si="0"/>
        <v>3</v>
      </c>
    </row>
    <row r="18" spans="1:11" x14ac:dyDescent="0.35">
      <c r="A18" t="s">
        <v>21</v>
      </c>
      <c r="B18" s="2" t="s">
        <v>15</v>
      </c>
      <c r="C18">
        <v>84</v>
      </c>
      <c r="D18">
        <f>IF(A18=A17, C18-C17, "")</f>
        <v>68</v>
      </c>
      <c r="E18">
        <v>16</v>
      </c>
      <c r="F18">
        <f>IF(A18=A17, E18-E17, "")</f>
        <v>-11</v>
      </c>
      <c r="G18">
        <v>32</v>
      </c>
      <c r="H18">
        <f>IF(A18=A17, G18-G17, "")</f>
        <v>18</v>
      </c>
      <c r="I18">
        <f>IF(A18=A17, H18-D18, 0)</f>
        <v>-50</v>
      </c>
      <c r="J18">
        <f t="shared" si="1"/>
        <v>0.38095238095238093</v>
      </c>
      <c r="K18">
        <f t="shared" si="0"/>
        <v>2</v>
      </c>
    </row>
    <row r="19" spans="1:11" x14ac:dyDescent="0.35">
      <c r="A19" t="s">
        <v>21</v>
      </c>
      <c r="B19" s="2" t="s">
        <v>16</v>
      </c>
      <c r="C19">
        <v>54</v>
      </c>
      <c r="D19">
        <f>IF(A19=A18, C19-C18, "")</f>
        <v>-30</v>
      </c>
      <c r="E19">
        <v>69</v>
      </c>
      <c r="F19">
        <f>IF(A19=A18, E19-E18, "")</f>
        <v>53</v>
      </c>
      <c r="G19">
        <v>60</v>
      </c>
      <c r="H19">
        <f>IF(A19=A18, G19-G18, "")</f>
        <v>28</v>
      </c>
      <c r="I19">
        <f>IF(A19=A18, H19-D19, 0)</f>
        <v>58</v>
      </c>
      <c r="J19">
        <f t="shared" si="1"/>
        <v>1.1111111111111112</v>
      </c>
      <c r="K19">
        <f t="shared" si="0"/>
        <v>1</v>
      </c>
    </row>
    <row r="20" spans="1:11" x14ac:dyDescent="0.35">
      <c r="A20" t="s">
        <v>21</v>
      </c>
      <c r="B20" s="2" t="s">
        <v>17</v>
      </c>
      <c r="C20">
        <v>30</v>
      </c>
      <c r="D20">
        <f>IF(A20=A19, C20-C19, "")</f>
        <v>-24</v>
      </c>
      <c r="E20">
        <v>78</v>
      </c>
      <c r="F20">
        <f>IF(A20=A19, E20-E19, "")</f>
        <v>9</v>
      </c>
      <c r="G20">
        <v>49</v>
      </c>
      <c r="H20">
        <f>IF(A20=A19, G20-G19, "")</f>
        <v>-11</v>
      </c>
      <c r="I20">
        <f>IF(A20=A19, H20-D20, 0)</f>
        <v>13</v>
      </c>
      <c r="J20">
        <f t="shared" si="1"/>
        <v>1.6333333333333333</v>
      </c>
      <c r="K20">
        <f t="shared" si="0"/>
        <v>2</v>
      </c>
    </row>
    <row r="21" spans="1:11" x14ac:dyDescent="0.35">
      <c r="A21" t="s">
        <v>21</v>
      </c>
      <c r="B21" s="2" t="s">
        <v>18</v>
      </c>
      <c r="C21">
        <v>76</v>
      </c>
      <c r="D21">
        <f>IF(A21=A20, C21-C20, "")</f>
        <v>46</v>
      </c>
      <c r="E21">
        <v>42</v>
      </c>
      <c r="F21">
        <f>IF(A21=A20, E21-E20, "")</f>
        <v>-36</v>
      </c>
      <c r="G21">
        <v>31</v>
      </c>
      <c r="H21">
        <f>IF(A21=A20, G21-G20, "")</f>
        <v>-18</v>
      </c>
      <c r="I21">
        <f>IF(A21=A20, H21-D21, 0)</f>
        <v>-64</v>
      </c>
      <c r="J21">
        <f t="shared" si="1"/>
        <v>0.40789473684210525</v>
      </c>
      <c r="K21" t="str">
        <f t="shared" si="0"/>
        <v/>
      </c>
    </row>
    <row r="22" spans="1:11" x14ac:dyDescent="0.35">
      <c r="A22" t="s">
        <v>23</v>
      </c>
      <c r="B22" s="2" t="s">
        <v>14</v>
      </c>
      <c r="C22">
        <v>60</v>
      </c>
      <c r="D22" t="str">
        <f>IF(A22=A21, C22-C21, "")</f>
        <v/>
      </c>
      <c r="E22">
        <v>57</v>
      </c>
      <c r="F22" t="str">
        <f>IF(A22=A21, E22-E21, "")</f>
        <v/>
      </c>
      <c r="G22">
        <v>81</v>
      </c>
      <c r="H22" t="str">
        <f>IF(A22=A21, G22-G21, "")</f>
        <v/>
      </c>
      <c r="I22">
        <f>IF(A22=A21, H22-D22, 0)</f>
        <v>0</v>
      </c>
      <c r="J22" t="str">
        <f t="shared" si="1"/>
        <v/>
      </c>
      <c r="K22">
        <f t="shared" si="0"/>
        <v>2</v>
      </c>
    </row>
    <row r="23" spans="1:11" x14ac:dyDescent="0.35">
      <c r="A23" t="s">
        <v>23</v>
      </c>
      <c r="B23" s="2" t="s">
        <v>15</v>
      </c>
      <c r="C23">
        <v>47</v>
      </c>
      <c r="D23">
        <f>IF(A23=A22, C23-C22, "")</f>
        <v>-13</v>
      </c>
      <c r="E23">
        <v>35</v>
      </c>
      <c r="F23">
        <f>IF(A23=A22, E23-E22, "")</f>
        <v>-22</v>
      </c>
      <c r="G23">
        <v>42</v>
      </c>
      <c r="H23">
        <f>IF(A23=A22, G23-G22, "")</f>
        <v>-39</v>
      </c>
      <c r="I23">
        <f>IF(A23=A22, H23-D23, 0)</f>
        <v>-26</v>
      </c>
      <c r="J23">
        <f t="shared" si="1"/>
        <v>0.8936170212765957</v>
      </c>
      <c r="K23">
        <f t="shared" si="0"/>
        <v>2</v>
      </c>
    </row>
    <row r="24" spans="1:11" x14ac:dyDescent="0.35">
      <c r="A24" t="s">
        <v>23</v>
      </c>
      <c r="B24" s="2" t="s">
        <v>16</v>
      </c>
      <c r="C24">
        <v>65</v>
      </c>
      <c r="D24">
        <f>IF(A24=A23, C24-C23, "")</f>
        <v>18</v>
      </c>
      <c r="E24">
        <v>23</v>
      </c>
      <c r="F24">
        <f>IF(A24=A23, E24-E23, "")</f>
        <v>-12</v>
      </c>
      <c r="G24">
        <v>31</v>
      </c>
      <c r="H24">
        <f>IF(A24=A23, G24-G23, "")</f>
        <v>-11</v>
      </c>
      <c r="I24">
        <f>IF(A24=A23, H24-D24, 0)</f>
        <v>-29</v>
      </c>
      <c r="J24">
        <f t="shared" si="1"/>
        <v>0.47692307692307695</v>
      </c>
      <c r="K24">
        <f t="shared" si="0"/>
        <v>2</v>
      </c>
    </row>
    <row r="25" spans="1:11" x14ac:dyDescent="0.35">
      <c r="A25" t="s">
        <v>23</v>
      </c>
      <c r="B25" s="2" t="s">
        <v>17</v>
      </c>
      <c r="C25">
        <v>63</v>
      </c>
      <c r="D25">
        <f>IF(A25=A24, C25-C24, "")</f>
        <v>-2</v>
      </c>
      <c r="E25">
        <v>45</v>
      </c>
      <c r="F25">
        <f>IF(A25=A24, E25-E24, "")</f>
        <v>22</v>
      </c>
      <c r="G25">
        <v>41</v>
      </c>
      <c r="H25">
        <f>IF(A25=A24, G25-G24, "")</f>
        <v>10</v>
      </c>
      <c r="I25">
        <f>IF(A25=A24, H25-D25, 0)</f>
        <v>12</v>
      </c>
      <c r="J25">
        <f t="shared" si="1"/>
        <v>0.65079365079365081</v>
      </c>
      <c r="K25">
        <f t="shared" si="0"/>
        <v>3</v>
      </c>
    </row>
    <row r="26" spans="1:11" x14ac:dyDescent="0.35">
      <c r="A26" t="s">
        <v>23</v>
      </c>
      <c r="B26" s="2" t="s">
        <v>18</v>
      </c>
      <c r="C26">
        <v>43</v>
      </c>
      <c r="D26">
        <f>IF(A26=A25, C26-C25, "")</f>
        <v>-20</v>
      </c>
      <c r="E26">
        <v>16</v>
      </c>
      <c r="F26">
        <f>IF(A26=A25, E26-E25, "")</f>
        <v>-29</v>
      </c>
      <c r="G26">
        <v>42</v>
      </c>
      <c r="H26">
        <f>IF(A26=A25, G26-G25, "")</f>
        <v>1</v>
      </c>
      <c r="I26">
        <f>IF(A26=A25, H26-D26, 0)</f>
        <v>21</v>
      </c>
      <c r="J26">
        <f t="shared" si="1"/>
        <v>0.97674418604651159</v>
      </c>
      <c r="K26" t="str">
        <f t="shared" si="0"/>
        <v/>
      </c>
    </row>
    <row r="27" spans="1:11" x14ac:dyDescent="0.35">
      <c r="A27" t="s">
        <v>24</v>
      </c>
      <c r="B27" s="2" t="s">
        <v>22</v>
      </c>
      <c r="C27">
        <v>37</v>
      </c>
      <c r="D27" t="str">
        <f>IF(A27=A26, C27-C26, "")</f>
        <v/>
      </c>
      <c r="E27">
        <v>13</v>
      </c>
      <c r="F27" t="str">
        <f>IF(A27=A26, E27-E26, "")</f>
        <v/>
      </c>
      <c r="G27">
        <v>26</v>
      </c>
      <c r="H27" t="str">
        <f>IF(A27=A26, G27-G26, "")</f>
        <v/>
      </c>
      <c r="I27">
        <f>IF(A27=A26, H27-D27, 0)</f>
        <v>0</v>
      </c>
      <c r="J27" t="str">
        <f t="shared" si="1"/>
        <v/>
      </c>
      <c r="K27">
        <f t="shared" si="0"/>
        <v>1</v>
      </c>
    </row>
    <row r="28" spans="1:11" x14ac:dyDescent="0.35">
      <c r="A28" t="s">
        <v>24</v>
      </c>
      <c r="B28" s="2" t="s">
        <v>13</v>
      </c>
      <c r="C28">
        <v>31</v>
      </c>
      <c r="D28">
        <f>IF(A28=A27, C28-C27, "")</f>
        <v>-6</v>
      </c>
      <c r="E28">
        <v>16</v>
      </c>
      <c r="F28">
        <f>IF(A28=A27, E28-E27, "")</f>
        <v>3</v>
      </c>
      <c r="G28">
        <v>6</v>
      </c>
      <c r="H28">
        <f>IF(A28=A27, G28-G27, "")</f>
        <v>-20</v>
      </c>
      <c r="I28">
        <f>IF(A28=A27, H28-D28, 0)</f>
        <v>-14</v>
      </c>
      <c r="J28">
        <f t="shared" si="1"/>
        <v>0.19354838709677419</v>
      </c>
      <c r="K28">
        <f t="shared" si="0"/>
        <v>1</v>
      </c>
    </row>
    <row r="29" spans="1:11" x14ac:dyDescent="0.35">
      <c r="A29" t="s">
        <v>24</v>
      </c>
      <c r="B29" s="2" t="s">
        <v>14</v>
      </c>
      <c r="C29">
        <v>19</v>
      </c>
      <c r="D29">
        <f>IF(A29=A28, C29-C28, "")</f>
        <v>-12</v>
      </c>
      <c r="E29">
        <v>46</v>
      </c>
      <c r="F29">
        <f>IF(A29=A28, E29-E28, "")</f>
        <v>30</v>
      </c>
      <c r="G29">
        <v>18</v>
      </c>
      <c r="H29">
        <f>IF(A29=A28, G29-G28, "")</f>
        <v>12</v>
      </c>
      <c r="I29">
        <f>IF(A29=A28, H29-D29, 0)</f>
        <v>24</v>
      </c>
      <c r="J29">
        <f t="shared" si="1"/>
        <v>0.94736842105263153</v>
      </c>
      <c r="K29">
        <f t="shared" si="0"/>
        <v>1</v>
      </c>
    </row>
    <row r="30" spans="1:11" x14ac:dyDescent="0.35">
      <c r="A30" t="s">
        <v>24</v>
      </c>
      <c r="B30" s="2" t="s">
        <v>15</v>
      </c>
      <c r="C30">
        <v>17</v>
      </c>
      <c r="D30">
        <f>IF(A30=A29, C30-C29, "")</f>
        <v>-2</v>
      </c>
      <c r="E30">
        <v>74</v>
      </c>
      <c r="F30">
        <f>IF(A30=A29, E30-E29, "")</f>
        <v>28</v>
      </c>
      <c r="G30">
        <v>19</v>
      </c>
      <c r="H30">
        <f>IF(A30=A29, G30-G29, "")</f>
        <v>1</v>
      </c>
      <c r="I30">
        <f>IF(A30=A29, H30-D30, 0)</f>
        <v>3</v>
      </c>
      <c r="J30">
        <f t="shared" si="1"/>
        <v>1.1176470588235294</v>
      </c>
      <c r="K30">
        <f t="shared" si="0"/>
        <v>3</v>
      </c>
    </row>
    <row r="31" spans="1:11" x14ac:dyDescent="0.35">
      <c r="A31" t="s">
        <v>24</v>
      </c>
      <c r="B31" s="2" t="s">
        <v>16</v>
      </c>
      <c r="C31">
        <v>17</v>
      </c>
      <c r="D31">
        <f>IF(A31=A30, C31-C30, "")</f>
        <v>0</v>
      </c>
      <c r="E31">
        <v>23</v>
      </c>
      <c r="F31">
        <f>IF(A31=A30, E31-E30, "")</f>
        <v>-51</v>
      </c>
      <c r="G31">
        <v>39</v>
      </c>
      <c r="H31">
        <f>IF(A31=A30, G31-G30, "")</f>
        <v>20</v>
      </c>
      <c r="I31">
        <f>IF(A31=A30, H31-D31, 0)</f>
        <v>20</v>
      </c>
      <c r="J31">
        <f t="shared" si="1"/>
        <v>2.2941176470588234</v>
      </c>
      <c r="K31">
        <f t="shared" si="0"/>
        <v>2</v>
      </c>
    </row>
    <row r="32" spans="1:11" x14ac:dyDescent="0.35">
      <c r="A32" t="s">
        <v>24</v>
      </c>
      <c r="B32" s="2" t="s">
        <v>17</v>
      </c>
      <c r="C32">
        <v>15</v>
      </c>
      <c r="D32">
        <f>IF(A32=A31, C32-C31, "")</f>
        <v>-2</v>
      </c>
      <c r="E32">
        <v>27</v>
      </c>
      <c r="F32">
        <f>IF(A32=A31, E32-E31, "")</f>
        <v>4</v>
      </c>
      <c r="G32">
        <v>52</v>
      </c>
      <c r="H32">
        <f>IF(A32=A31, G32-G31, "")</f>
        <v>13</v>
      </c>
      <c r="I32">
        <f>IF(A32=A31, H32-D32, 0)</f>
        <v>15</v>
      </c>
      <c r="J32">
        <f t="shared" si="1"/>
        <v>3.4666666666666668</v>
      </c>
      <c r="K32">
        <f t="shared" si="0"/>
        <v>2</v>
      </c>
    </row>
    <row r="33" spans="1:11" x14ac:dyDescent="0.35">
      <c r="A33" t="s">
        <v>24</v>
      </c>
      <c r="B33" s="2" t="s">
        <v>18</v>
      </c>
      <c r="C33">
        <v>57</v>
      </c>
      <c r="D33">
        <f>IF(A33=A32, C33-C32, "")</f>
        <v>42</v>
      </c>
      <c r="E33">
        <v>53</v>
      </c>
      <c r="F33">
        <f>IF(A33=A32, E33-E32, "")</f>
        <v>26</v>
      </c>
      <c r="G33">
        <v>74</v>
      </c>
      <c r="H33">
        <f>IF(A33=A32, G33-G32, "")</f>
        <v>22</v>
      </c>
      <c r="I33">
        <f>IF(A33=A32, H33-D33, 0)</f>
        <v>-20</v>
      </c>
      <c r="J33">
        <f t="shared" si="1"/>
        <v>1.2982456140350878</v>
      </c>
      <c r="K33" t="str">
        <f t="shared" si="0"/>
        <v/>
      </c>
    </row>
    <row r="34" spans="1:11" x14ac:dyDescent="0.35">
      <c r="A34" t="s">
        <v>25</v>
      </c>
      <c r="B34" s="2" t="s">
        <v>15</v>
      </c>
      <c r="C34">
        <v>34</v>
      </c>
      <c r="D34" t="str">
        <f>IF(A34=A33, C34-C33, "")</f>
        <v/>
      </c>
      <c r="E34">
        <v>45</v>
      </c>
      <c r="F34" t="str">
        <f>IF(A34=A33, E34-E33, "")</f>
        <v/>
      </c>
      <c r="G34">
        <v>36</v>
      </c>
      <c r="H34" t="str">
        <f>IF(A34=A33, G34-G33, "")</f>
        <v/>
      </c>
      <c r="I34">
        <f>IF(A34=A33, H34-D34, 0)</f>
        <v>0</v>
      </c>
      <c r="J34" t="str">
        <f t="shared" si="1"/>
        <v/>
      </c>
      <c r="K34">
        <f t="shared" si="0"/>
        <v>2</v>
      </c>
    </row>
    <row r="35" spans="1:11" x14ac:dyDescent="0.35">
      <c r="A35" t="s">
        <v>25</v>
      </c>
      <c r="B35" s="2" t="s">
        <v>16</v>
      </c>
      <c r="C35">
        <v>54</v>
      </c>
      <c r="D35">
        <f>IF(A35=A34, C35-C34, "")</f>
        <v>20</v>
      </c>
      <c r="E35">
        <v>68</v>
      </c>
      <c r="F35">
        <f>IF(A35=A34, E35-E34, "")</f>
        <v>23</v>
      </c>
      <c r="G35">
        <v>66</v>
      </c>
      <c r="H35">
        <f>IF(A35=A34, G35-G34, "")</f>
        <v>30</v>
      </c>
      <c r="I35">
        <f>IF(A35=A34, H35-D35, 0)</f>
        <v>10</v>
      </c>
      <c r="J35">
        <f t="shared" si="1"/>
        <v>1.2222222222222223</v>
      </c>
      <c r="K35">
        <f t="shared" si="0"/>
        <v>2</v>
      </c>
    </row>
    <row r="36" spans="1:11" x14ac:dyDescent="0.35">
      <c r="A36" t="s">
        <v>25</v>
      </c>
      <c r="B36" s="2" t="s">
        <v>17</v>
      </c>
      <c r="C36">
        <v>96</v>
      </c>
      <c r="D36">
        <f>IF(A36=A35, C36-C35, "")</f>
        <v>42</v>
      </c>
      <c r="E36">
        <v>49</v>
      </c>
      <c r="F36">
        <f>IF(A36=A35, E36-E35, "")</f>
        <v>-19</v>
      </c>
      <c r="G36">
        <v>47</v>
      </c>
      <c r="H36">
        <f>IF(A36=A35, G36-G35, "")</f>
        <v>-19</v>
      </c>
      <c r="I36">
        <f>IF(A36=A35, H36-D36, 0)</f>
        <v>-61</v>
      </c>
      <c r="J36">
        <f t="shared" si="1"/>
        <v>0.48958333333333331</v>
      </c>
      <c r="K36">
        <f t="shared" si="0"/>
        <v>2</v>
      </c>
    </row>
    <row r="37" spans="1:11" x14ac:dyDescent="0.35">
      <c r="A37" t="s">
        <v>25</v>
      </c>
      <c r="B37" s="2" t="s">
        <v>18</v>
      </c>
      <c r="C37">
        <v>56</v>
      </c>
      <c r="D37">
        <f>IF(A37=A36, C37-C36, "")</f>
        <v>-40</v>
      </c>
      <c r="E37">
        <v>44</v>
      </c>
      <c r="F37">
        <f>IF(A37=A36, E37-E36, "")</f>
        <v>-5</v>
      </c>
      <c r="G37">
        <v>43</v>
      </c>
      <c r="H37">
        <f>IF(A37=A36, G37-G36, "")</f>
        <v>-4</v>
      </c>
      <c r="I37">
        <f>IF(A37=A36, H37-D37, 0)</f>
        <v>36</v>
      </c>
      <c r="J37">
        <f t="shared" si="1"/>
        <v>0.7678571428571429</v>
      </c>
      <c r="K37" t="str">
        <f t="shared" si="0"/>
        <v/>
      </c>
    </row>
    <row r="38" spans="1:11" x14ac:dyDescent="0.35">
      <c r="D38" t="str">
        <f>IF(A38=A37, C38-C37, "")</f>
        <v/>
      </c>
      <c r="F38" t="str">
        <f>IF(A38=A37, E38-E37, "")</f>
        <v/>
      </c>
      <c r="H38" t="str">
        <f>IF(A38=A37, G38-G37,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Country_Year_Medals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Swapnalija-3 HP Elitebook</dc:creator>
  <cp:lastModifiedBy>Swapnalija-3 HP Elitebook</cp:lastModifiedBy>
  <dcterms:created xsi:type="dcterms:W3CDTF">2026-02-25T15:02:56Z</dcterms:created>
  <dcterms:modified xsi:type="dcterms:W3CDTF">2026-02-25T15:03:31Z</dcterms:modified>
</cp:coreProperties>
</file>