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Olympics Data Analysis\"/>
    </mc:Choice>
  </mc:AlternateContent>
  <xr:revisionPtr revIDLastSave="0" documentId="13_ncr:1_{C56E1416-A6CA-48C1-9E6C-744F71C2C75A}" xr6:coauthVersionLast="47" xr6:coauthVersionMax="47" xr10:uidLastSave="{00000000-0000-0000-0000-000000000000}"/>
  <bookViews>
    <workbookView xWindow="28690" yWindow="-110" windowWidth="29020" windowHeight="15700" xr2:uid="{EEE06D4B-F380-4E2D-92A1-B467792F75C6}"/>
  </bookViews>
  <sheets>
    <sheet name="Problem_Statemen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6" i="1" l="1"/>
  <c r="E166" i="1"/>
  <c r="D166" i="1"/>
  <c r="C166" i="1"/>
  <c r="B166" i="1"/>
  <c r="G165" i="1"/>
  <c r="E165" i="1"/>
  <c r="D165" i="1"/>
  <c r="C165" i="1"/>
  <c r="B165" i="1"/>
  <c r="G164" i="1"/>
  <c r="E164" i="1"/>
  <c r="D164" i="1"/>
  <c r="C164" i="1"/>
  <c r="B164" i="1"/>
  <c r="G163" i="1"/>
  <c r="E163" i="1"/>
  <c r="D163" i="1"/>
  <c r="C163" i="1"/>
  <c r="B163" i="1"/>
  <c r="G162" i="1"/>
  <c r="F162" i="1"/>
  <c r="E162" i="1"/>
  <c r="D162" i="1"/>
  <c r="C162" i="1"/>
  <c r="B162" i="1"/>
  <c r="G161" i="1"/>
  <c r="E161" i="1"/>
  <c r="D161" i="1"/>
  <c r="F161" i="1" s="1"/>
  <c r="C161" i="1"/>
  <c r="B16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65" i="1" l="1"/>
  <c r="F166" i="1"/>
  <c r="F163" i="1"/>
  <c r="F164" i="1"/>
</calcChain>
</file>

<file path=xl/sharedStrings.xml><?xml version="1.0" encoding="utf-8"?>
<sst xmlns="http://schemas.openxmlformats.org/spreadsheetml/2006/main" count="222" uniqueCount="161">
  <si>
    <t>1. Total Medal Count by Country</t>
  </si>
  <si>
    <t>Medal Distribution by Country</t>
  </si>
  <si>
    <t>Country</t>
  </si>
  <si>
    <t>Bronze</t>
  </si>
  <si>
    <t>Gold</t>
  </si>
  <si>
    <t>Silver</t>
  </si>
  <si>
    <t>Grand Total</t>
  </si>
  <si>
    <t>United States</t>
  </si>
  <si>
    <t>Soviet Union</t>
  </si>
  <si>
    <t>Australia</t>
  </si>
  <si>
    <t>Germany</t>
  </si>
  <si>
    <t>China</t>
  </si>
  <si>
    <t>Russia</t>
  </si>
  <si>
    <t>East Germany</t>
  </si>
  <si>
    <t>Italy</t>
  </si>
  <si>
    <t>Romania</t>
  </si>
  <si>
    <t>United Kingdom</t>
  </si>
  <si>
    <t>2. Medals Won Over the Years</t>
  </si>
  <si>
    <t>Year</t>
  </si>
  <si>
    <t>Men</t>
  </si>
  <si>
    <t>Women</t>
  </si>
  <si>
    <t>1976</t>
  </si>
  <si>
    <t>1980</t>
  </si>
  <si>
    <t>1984</t>
  </si>
  <si>
    <t>1988</t>
  </si>
  <si>
    <t>1992</t>
  </si>
  <si>
    <t>1996</t>
  </si>
  <si>
    <t>2000</t>
  </si>
  <si>
    <t>2004</t>
  </si>
  <si>
    <t>2008</t>
  </si>
  <si>
    <t>3.1. Gender distribution of medals (by athlete gender)</t>
  </si>
  <si>
    <t>Gender</t>
  </si>
  <si>
    <t>Medal</t>
  </si>
  <si>
    <t>% Distribution</t>
  </si>
  <si>
    <t>3.2 Event gender distribution (M / W / Mixed)</t>
  </si>
  <si>
    <t>Event Gender</t>
  </si>
  <si>
    <t>Count of Medal</t>
  </si>
  <si>
    <t>M</t>
  </si>
  <si>
    <t>W</t>
  </si>
  <si>
    <t>Mixed, Others, If any</t>
  </si>
  <si>
    <t>Trend Over Time</t>
  </si>
  <si>
    <t>Mixed/ Other</t>
  </si>
  <si>
    <t>Total</t>
  </si>
  <si>
    <t>Medals</t>
  </si>
  <si>
    <t>Athlete Name</t>
  </si>
  <si>
    <t>PHELPS, Michael</t>
  </si>
  <si>
    <t>ANDRIANOV, Nikolay</t>
  </si>
  <si>
    <t>NEMOV, Alexei</t>
  </si>
  <si>
    <t>THOMPSON, Jenny</t>
  </si>
  <si>
    <t>TORRES, Dara</t>
  </si>
  <si>
    <t>FISCHER, Birgit</t>
  </si>
  <si>
    <t>COUGHLIN, Natalie</t>
  </si>
  <si>
    <t>BIONDI, Matthew</t>
  </si>
  <si>
    <t>SCHERBO, Vitaly</t>
  </si>
  <si>
    <t>DITYATIN, Aleksandr</t>
  </si>
  <si>
    <t>VAN ALMSICK, Franziska</t>
  </si>
  <si>
    <t>HALL, Gary Jr.</t>
  </si>
  <si>
    <t>LEWIS, Carl</t>
  </si>
  <si>
    <t>Q4. Which Athlete has win most medal from given period?</t>
  </si>
  <si>
    <t>Athlete</t>
  </si>
  <si>
    <t>Total Medals</t>
  </si>
  <si>
    <t>Golds</t>
  </si>
  <si>
    <t>Span</t>
  </si>
  <si>
    <t>Michael PHELPS</t>
  </si>
  <si>
    <t>2004-08</t>
  </si>
  <si>
    <t>Natalie COUGHLIN</t>
  </si>
  <si>
    <t>Grant HACKETT</t>
  </si>
  <si>
    <t>2000-08</t>
  </si>
  <si>
    <t>Aaron PEIRSOL</t>
  </si>
  <si>
    <t>Phelps: 88% Gold rate—unmatched dominance in swimming relays/individuals.</t>
  </si>
  <si>
    <t>Hackett: 10 silvers (no gold)—consistent excellence without top spot.</t>
  </si>
  <si>
    <t>Q6. Which country has win most medal and how many in each year?</t>
  </si>
  <si>
    <t>US Medals</t>
  </si>
  <si>
    <t>%</t>
  </si>
  <si>
    <t>Peaked 1984 (LA boycott boosted %).</t>
  </si>
  <si>
    <t>Consistent top performer despite rising competition (China/Russia post-1990s).</t>
  </si>
  <si>
    <t>7. which country has dominated any particular sport?</t>
  </si>
  <si>
    <t>Countries</t>
  </si>
  <si>
    <t>Sport</t>
  </si>
  <si>
    <t>USA</t>
  </si>
  <si>
    <t>Swimming</t>
  </si>
  <si>
    <t>Athletics</t>
  </si>
  <si>
    <t>Basketball</t>
  </si>
  <si>
    <t>Rowing</t>
  </si>
  <si>
    <t>Artistic G.</t>
  </si>
  <si>
    <r>
      <t xml:space="preserve">The United States dominated </t>
    </r>
    <r>
      <rPr>
        <b/>
        <sz val="11"/>
        <color theme="1"/>
        <rFont val="Aptos Narrow"/>
        <family val="2"/>
        <scheme val="minor"/>
      </rPr>
      <t>Swimming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Athletics</t>
    </r>
    <r>
      <rPr>
        <sz val="11"/>
        <color theme="1"/>
        <rFont val="Aptos Narrow"/>
        <family val="2"/>
        <scheme val="minor"/>
      </rPr>
      <t>, earning 446 and 299 medals respectively, which together account for over one‑third of all American medals between 1976 and 2008.</t>
    </r>
  </si>
  <si>
    <t>Home Advantage Effect</t>
  </si>
  <si>
    <t>Host</t>
  </si>
  <si>
    <t>Host Wins</t>
  </si>
  <si>
    <t>Avg Non-Host</t>
  </si>
  <si>
    <t>Boost</t>
  </si>
  <si>
    <t>Boost%</t>
  </si>
  <si>
    <t>CAN</t>
  </si>
  <si>
    <t>URS</t>
  </si>
  <si>
    <t>KOR</t>
  </si>
  <si>
    <t>ESP</t>
  </si>
  <si>
    <t>AUS</t>
  </si>
  <si>
    <t>Avg ΔBronze</t>
  </si>
  <si>
    <t>Avg ΔSilver</t>
  </si>
  <si>
    <t>Avg ΔGold</t>
  </si>
  <si>
    <t>Avg Success</t>
  </si>
  <si>
    <t>Net Progress</t>
  </si>
  <si>
    <t>Final Ratio</t>
  </si>
  <si>
    <t>Standouts:</t>
  </si>
  <si>
    <r>
      <t>Germany</t>
    </r>
    <r>
      <rPr>
        <sz val="11"/>
        <color theme="1"/>
        <rFont val="Aptos Narrow"/>
        <family val="2"/>
        <scheme val="minor"/>
      </rPr>
      <t xml:space="preserve">: Highest </t>
    </r>
    <r>
      <rPr>
        <b/>
        <sz val="11"/>
        <color theme="1"/>
        <rFont val="Aptos Narrow"/>
        <family val="2"/>
        <scheme val="minor"/>
      </rPr>
      <t>Success Score (2.25)</t>
    </r>
    <r>
      <rPr>
        <sz val="11"/>
        <color theme="1"/>
        <rFont val="Aptos Narrow"/>
        <family val="2"/>
        <scheme val="minor"/>
      </rPr>
      <t xml:space="preserve"> + Bronze ↓</t>
    </r>
  </si>
  <si>
    <r>
      <t>Soviet Union</t>
    </r>
    <r>
      <rPr>
        <sz val="11"/>
        <color theme="1"/>
        <rFont val="Aptos Narrow"/>
        <family val="2"/>
        <scheme val="minor"/>
      </rPr>
      <t xml:space="preserve">: Massive </t>
    </r>
    <r>
      <rPr>
        <b/>
        <sz val="11"/>
        <color theme="1"/>
        <rFont val="Aptos Narrow"/>
        <family val="2"/>
        <scheme val="minor"/>
      </rPr>
      <t>Net Progress (+24.5)</t>
    </r>
  </si>
  <si>
    <r>
      <t>USA</t>
    </r>
    <r>
      <rPr>
        <sz val="11"/>
        <color theme="1"/>
        <rFont val="Aptos Narrow"/>
        <family val="2"/>
        <scheme val="minor"/>
      </rPr>
      <t>: Silver explosion (+116 avg!)</t>
    </r>
  </si>
  <si>
    <t>3. Do countries convert more Bronze→Silver→Gold over Olympic cycles?</t>
  </si>
  <si>
    <t>3. Medal Type Progression Answer: NO systematic Bronze→Silver→Gold conversion across all countries.</t>
  </si>
  <si>
    <t>However, TOP 5 PROGRESSORS demonstrate quality upgrades:</t>
  </si>
  <si>
    <t>• GERMANY leads (2.25/3 score): -10.3 Bronze/yr → +47.4 Silver/yr</t>
  </si>
  <si>
    <t>• SOVIET UNION: +24.5 Net Progress (1980 Moscow dominance)</t>
  </si>
  <si>
    <t>• USA: +116 Silver/yr explosion</t>
  </si>
  <si>
    <t>Top 5 Medal Progressors</t>
  </si>
  <si>
    <t>Rank</t>
  </si>
  <si>
    <t>Success Score   (Out of 3)</t>
  </si>
  <si>
    <t>Bronze Trend</t>
  </si>
  <si>
    <t>Silver Trend</t>
  </si>
  <si>
    <t>Gold Trend</t>
  </si>
  <si>
    <t>Key Achievement</t>
  </si>
  <si>
    <t>↓ -10.3/yr</t>
  </si>
  <si>
    <t>↑ +47.4/yr</t>
  </si>
  <si>
    <t>-9.8/yr</t>
  </si>
  <si>
    <t>Best consistency</t>
  </si>
  <si>
    <t>↑ +7.6/yr</t>
  </si>
  <si>
    <r>
      <t xml:space="preserve">↑ </t>
    </r>
    <r>
      <rPr>
        <b/>
        <sz val="11"/>
        <color theme="1"/>
        <rFont val="Arial"/>
        <family val="2"/>
      </rPr>
      <t>+116/yr</t>
    </r>
  </si>
  <si>
    <t>↑ +8.9/yr</t>
  </si>
  <si>
    <t>Silver dominance</t>
  </si>
  <si>
    <r>
      <t xml:space="preserve">↓ </t>
    </r>
    <r>
      <rPr>
        <b/>
        <sz val="11"/>
        <color theme="1"/>
        <rFont val="Arial"/>
        <family val="2"/>
      </rPr>
      <t>-14/yr</t>
    </r>
  </si>
  <si>
    <t>↑ +146/yr</t>
  </si>
  <si>
    <t>↑ +10.5/yr</t>
  </si>
  <si>
    <t>+24.5 Net Progress</t>
  </si>
  <si>
    <t>4</t>
  </si>
  <si>
    <t>-0.3/yr</t>
  </si>
  <si>
    <t>↑ +48/yr</t>
  </si>
  <si>
    <t>↑ +2.3/yr</t>
  </si>
  <si>
    <t>Post-Soviet rebound</t>
  </si>
  <si>
    <t>↑ +3.3/yr</t>
  </si>
  <si>
    <t>↑ +27/yr</t>
  </si>
  <si>
    <t>↑ +3.9/yr</t>
  </si>
  <si>
    <t>Sydney Olympics surge</t>
  </si>
  <si>
    <t>4. Sport Discipline Deep Dive</t>
  </si>
  <si>
    <t>Question: Within dominant sports, which Discipline wins most (Swimming: Freestyle vs. Medley)?</t>
  </si>
  <si>
    <t>Sports</t>
  </si>
  <si>
    <t>Gold Medals (1976- 2008)</t>
  </si>
  <si>
    <t>Gold %</t>
  </si>
  <si>
    <t>Hockey</t>
  </si>
  <si>
    <t>Handball</t>
  </si>
  <si>
    <t>Artistic Gymnastics</t>
  </si>
  <si>
    <t>Football</t>
  </si>
  <si>
    <t>Volleyball</t>
  </si>
  <si>
    <t>Fencing</t>
  </si>
  <si>
    <t>Canoe / Kayak F</t>
  </si>
  <si>
    <t>Water polo</t>
  </si>
  <si>
    <t>Sailing</t>
  </si>
  <si>
    <t>Shooting</t>
  </si>
  <si>
    <t>Baseball</t>
  </si>
  <si>
    <t>5. Age-Performance Correlation</t>
  </si>
  <si>
    <t>Question: What's the optimal athlete age range for Gold medals by sport?</t>
  </si>
  <si>
    <t>Expected insight: Gymnastics (&lt;25), Marathon (&gt;30), Swimming peak (18-24).</t>
  </si>
  <si>
    <t>Note: Requires Athlete birthdates (not in current dataset—extract from names/Years).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</si>
</sst>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3" borderId="2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10" fontId="1" fillId="3" borderId="3" xfId="0" applyNumberFormat="1" applyFont="1" applyFill="1" applyBorder="1"/>
    <xf numFmtId="0" fontId="1" fillId="3" borderId="0" xfId="0" applyFont="1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  <xf numFmtId="2" fontId="4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4599A8-2B75-4D83-AE04-504F1E6849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Medal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Problem_Statements!$B$6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Problem_Statements!$A$7:$A$16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Problem_Statements!$B$7:$B$16</c:f>
              <c:numCache>
                <c:formatCode>General</c:formatCode>
                <c:ptCount val="10"/>
                <c:pt idx="0">
                  <c:v>481</c:v>
                </c:pt>
                <c:pt idx="1">
                  <c:v>297</c:v>
                </c:pt>
                <c:pt idx="2">
                  <c:v>312</c:v>
                </c:pt>
                <c:pt idx="3">
                  <c:v>278</c:v>
                </c:pt>
                <c:pt idx="4">
                  <c:v>193</c:v>
                </c:pt>
                <c:pt idx="5">
                  <c:v>240</c:v>
                </c:pt>
                <c:pt idx="6">
                  <c:v>150</c:v>
                </c:pt>
                <c:pt idx="7">
                  <c:v>178</c:v>
                </c:pt>
                <c:pt idx="8">
                  <c:v>190</c:v>
                </c:pt>
                <c:pt idx="9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B97-AF14-9739049B7D1C}"/>
            </c:ext>
          </c:extLst>
        </c:ser>
        <c:ser>
          <c:idx val="1"/>
          <c:order val="1"/>
          <c:tx>
            <c:strRef>
              <c:f>Problem_Statements!$C$6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Problem_Statements!$A$7:$A$16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Problem_Statements!$C$7:$C$16</c:f>
              <c:numCache>
                <c:formatCode>General</c:formatCode>
                <c:ptCount val="10"/>
                <c:pt idx="0">
                  <c:v>928</c:v>
                </c:pt>
                <c:pt idx="1">
                  <c:v>439</c:v>
                </c:pt>
                <c:pt idx="2">
                  <c:v>216</c:v>
                </c:pt>
                <c:pt idx="3">
                  <c:v>237</c:v>
                </c:pt>
                <c:pt idx="4">
                  <c:v>234</c:v>
                </c:pt>
                <c:pt idx="5">
                  <c:v>192</c:v>
                </c:pt>
                <c:pt idx="6">
                  <c:v>286</c:v>
                </c:pt>
                <c:pt idx="7">
                  <c:v>145</c:v>
                </c:pt>
                <c:pt idx="8">
                  <c:v>135</c:v>
                </c:pt>
                <c:pt idx="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1-4B97-AF14-9739049B7D1C}"/>
            </c:ext>
          </c:extLst>
        </c:ser>
        <c:ser>
          <c:idx val="2"/>
          <c:order val="2"/>
          <c:tx>
            <c:strRef>
              <c:f>Problem_Statements!$D$6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Problem_Statements!$A$7:$A$16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East Germany</c:v>
                </c:pt>
                <c:pt idx="7">
                  <c:v>Italy</c:v>
                </c:pt>
                <c:pt idx="8">
                  <c:v>Romania</c:v>
                </c:pt>
                <c:pt idx="9">
                  <c:v>United Kingdom</c:v>
                </c:pt>
              </c:strCache>
            </c:strRef>
          </c:cat>
          <c:val>
            <c:numRef>
              <c:f>Problem_Statements!$D$7:$D$16</c:f>
              <c:numCache>
                <c:formatCode>General</c:formatCode>
                <c:ptCount val="10"/>
                <c:pt idx="0">
                  <c:v>583</c:v>
                </c:pt>
                <c:pt idx="1">
                  <c:v>285</c:v>
                </c:pt>
                <c:pt idx="2">
                  <c:v>270</c:v>
                </c:pt>
                <c:pt idx="3">
                  <c:v>176</c:v>
                </c:pt>
                <c:pt idx="4">
                  <c:v>252</c:v>
                </c:pt>
                <c:pt idx="5">
                  <c:v>206</c:v>
                </c:pt>
                <c:pt idx="6">
                  <c:v>190</c:v>
                </c:pt>
                <c:pt idx="7">
                  <c:v>163</c:v>
                </c:pt>
                <c:pt idx="8">
                  <c:v>157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A1-4B97-AF14-9739049B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743615"/>
        <c:axId val="1575744575"/>
      </c:barChart>
      <c:catAx>
        <c:axId val="15757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44575"/>
        <c:crosses val="autoZero"/>
        <c:auto val="1"/>
        <c:lblAlgn val="ctr"/>
        <c:lblOffset val="100"/>
        <c:noMultiLvlLbl val="0"/>
      </c:catAx>
      <c:valAx>
        <c:axId val="157574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155555555555543"/>
          <c:y val="0.13735696536031852"/>
          <c:w val="0.1546666666666667"/>
          <c:h val="0.17443010688302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Medals Won Over the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Problem_Statements!$B$25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Problem_Statements!$A$27:$A$35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Problem_Statements!$B$27:$B$35</c:f>
              <c:numCache>
                <c:formatCode>General</c:formatCode>
                <c:ptCount val="9"/>
                <c:pt idx="0">
                  <c:v>924</c:v>
                </c:pt>
                <c:pt idx="1">
                  <c:v>958</c:v>
                </c:pt>
                <c:pt idx="2">
                  <c:v>973</c:v>
                </c:pt>
                <c:pt idx="3">
                  <c:v>1011</c:v>
                </c:pt>
                <c:pt idx="4">
                  <c:v>1105</c:v>
                </c:pt>
                <c:pt idx="5">
                  <c:v>1082</c:v>
                </c:pt>
                <c:pt idx="6">
                  <c:v>1126</c:v>
                </c:pt>
                <c:pt idx="7">
                  <c:v>1099</c:v>
                </c:pt>
                <c:pt idx="8">
                  <c:v>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7-440D-A7DD-01EC02EBCACA}"/>
            </c:ext>
          </c:extLst>
        </c:ser>
        <c:ser>
          <c:idx val="1"/>
          <c:order val="1"/>
          <c:tx>
            <c:strRef>
              <c:f>Problem_Statements!$C$25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Problem_Statements!$A$27:$A$35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Problem_Statements!$C$27:$C$35</c:f>
              <c:numCache>
                <c:formatCode>General</c:formatCode>
                <c:ptCount val="9"/>
                <c:pt idx="0">
                  <c:v>381</c:v>
                </c:pt>
                <c:pt idx="1">
                  <c:v>429</c:v>
                </c:pt>
                <c:pt idx="2">
                  <c:v>486</c:v>
                </c:pt>
                <c:pt idx="3">
                  <c:v>535</c:v>
                </c:pt>
                <c:pt idx="4">
                  <c:v>600</c:v>
                </c:pt>
                <c:pt idx="5">
                  <c:v>777</c:v>
                </c:pt>
                <c:pt idx="6">
                  <c:v>889</c:v>
                </c:pt>
                <c:pt idx="7">
                  <c:v>899</c:v>
                </c:pt>
                <c:pt idx="8">
                  <c:v>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7-440D-A7DD-01EC02EBC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739295"/>
        <c:axId val="1575731615"/>
      </c:barChart>
      <c:catAx>
        <c:axId val="15757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1615"/>
        <c:crosses val="autoZero"/>
        <c:auto val="1"/>
        <c:lblAlgn val="ctr"/>
        <c:lblOffset val="100"/>
        <c:noMultiLvlLbl val="0"/>
      </c:catAx>
      <c:valAx>
        <c:axId val="1575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Over Time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Problem_Statements!$B$69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Problem_Statements!$A$70:$A$78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Problem_Statements!$B$70:$B$78</c:f>
              <c:numCache>
                <c:formatCode>General</c:formatCode>
                <c:ptCount val="9"/>
                <c:pt idx="0">
                  <c:v>843</c:v>
                </c:pt>
                <c:pt idx="1">
                  <c:v>854</c:v>
                </c:pt>
                <c:pt idx="2">
                  <c:v>911</c:v>
                </c:pt>
                <c:pt idx="3">
                  <c:v>950</c:v>
                </c:pt>
                <c:pt idx="4">
                  <c:v>1041</c:v>
                </c:pt>
                <c:pt idx="5">
                  <c:v>1029</c:v>
                </c:pt>
                <c:pt idx="6">
                  <c:v>1065</c:v>
                </c:pt>
                <c:pt idx="7">
                  <c:v>1052</c:v>
                </c:pt>
                <c:pt idx="8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0-48A2-9DE5-33EBD671ADB3}"/>
            </c:ext>
          </c:extLst>
        </c:ser>
        <c:ser>
          <c:idx val="1"/>
          <c:order val="1"/>
          <c:tx>
            <c:strRef>
              <c:f>Problem_Statements!$C$69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Problem_Statements!$A$70:$A$78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Problem_Statements!$C$70:$C$78</c:f>
              <c:numCache>
                <c:formatCode>General</c:formatCode>
                <c:ptCount val="9"/>
                <c:pt idx="0">
                  <c:v>372</c:v>
                </c:pt>
                <c:pt idx="1">
                  <c:v>423</c:v>
                </c:pt>
                <c:pt idx="2">
                  <c:v>468</c:v>
                </c:pt>
                <c:pt idx="3">
                  <c:v>518</c:v>
                </c:pt>
                <c:pt idx="4">
                  <c:v>586</c:v>
                </c:pt>
                <c:pt idx="5">
                  <c:v>755</c:v>
                </c:pt>
                <c:pt idx="6">
                  <c:v>869</c:v>
                </c:pt>
                <c:pt idx="7">
                  <c:v>878</c:v>
                </c:pt>
                <c:pt idx="8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0-48A2-9DE5-33EBD671ADB3}"/>
            </c:ext>
          </c:extLst>
        </c:ser>
        <c:ser>
          <c:idx val="2"/>
          <c:order val="2"/>
          <c:tx>
            <c:strRef>
              <c:f>Problem_Statements!$D$69</c:f>
              <c:strCache>
                <c:ptCount val="1"/>
                <c:pt idx="0">
                  <c:v>Mixed/ 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Problem_Statements!$A$70:$A$78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Problem_Statements!$D$70:$D$78</c:f>
              <c:numCache>
                <c:formatCode>General</c:formatCode>
                <c:ptCount val="9"/>
                <c:pt idx="0">
                  <c:v>90</c:v>
                </c:pt>
                <c:pt idx="1">
                  <c:v>110</c:v>
                </c:pt>
                <c:pt idx="2">
                  <c:v>80</c:v>
                </c:pt>
                <c:pt idx="3">
                  <c:v>78</c:v>
                </c:pt>
                <c:pt idx="4">
                  <c:v>78</c:v>
                </c:pt>
                <c:pt idx="5">
                  <c:v>75</c:v>
                </c:pt>
                <c:pt idx="6">
                  <c:v>81</c:v>
                </c:pt>
                <c:pt idx="7">
                  <c:v>68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F0-48A2-9DE5-33EBD671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383343"/>
        <c:axId val="1542380943"/>
      </c:barChart>
      <c:catAx>
        <c:axId val="154238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0943"/>
        <c:crosses val="autoZero"/>
        <c:auto val="1"/>
        <c:lblAlgn val="ctr"/>
        <c:lblOffset val="100"/>
        <c:noMultiLvlLbl val="0"/>
      </c:catAx>
      <c:valAx>
        <c:axId val="154238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of Medals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Problem_Statements!$B$47</c:f>
              <c:strCache>
                <c:ptCount val="1"/>
                <c:pt idx="0">
                  <c:v>Medal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B-40CF-94D2-17B7340D257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B-40CF-94D2-17B7340D2574}"/>
              </c:ext>
            </c:extLst>
          </c:dPt>
          <c:cat>
            <c:strRef>
              <c:f>Problem_Statements!$A$48:$A$49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Problem_Statements!$B$48:$B$49</c:f>
              <c:numCache>
                <c:formatCode>General</c:formatCode>
                <c:ptCount val="2"/>
                <c:pt idx="0">
                  <c:v>9388</c:v>
                </c:pt>
                <c:pt idx="1">
                  <c:v>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B-40CF-94D2-17B7340D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880030621172339"/>
          <c:y val="0.25057815689705448"/>
          <c:w val="0.13239938757655292"/>
          <c:h val="0.18460702828813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Athletes 1976- 2008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Problem_Statements!$B$87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Problem_Statements!$A$88:$A$100</c:f>
              <c:strCache>
                <c:ptCount val="13"/>
                <c:pt idx="0">
                  <c:v>PHELPS, Michael</c:v>
                </c:pt>
                <c:pt idx="1">
                  <c:v>ANDRIANOV, Nikolay</c:v>
                </c:pt>
                <c:pt idx="2">
                  <c:v>NEMOV, Alexei</c:v>
                </c:pt>
                <c:pt idx="3">
                  <c:v>THOMPSON, Jenny</c:v>
                </c:pt>
                <c:pt idx="4">
                  <c:v>TORRES, Dara</c:v>
                </c:pt>
                <c:pt idx="5">
                  <c:v>FISCHER, Birgit</c:v>
                </c:pt>
                <c:pt idx="6">
                  <c:v>COUGHLIN, Natalie</c:v>
                </c:pt>
                <c:pt idx="7">
                  <c:v>BIONDI, Matthew</c:v>
                </c:pt>
                <c:pt idx="8">
                  <c:v>SCHERBO, Vitaly</c:v>
                </c:pt>
                <c:pt idx="9">
                  <c:v>DITYATIN, Aleksandr</c:v>
                </c:pt>
                <c:pt idx="10">
                  <c:v>VAN ALMSICK, Franziska</c:v>
                </c:pt>
                <c:pt idx="11">
                  <c:v>HALL, Gary Jr.</c:v>
                </c:pt>
                <c:pt idx="12">
                  <c:v>LEWIS, Carl</c:v>
                </c:pt>
              </c:strCache>
            </c:strRef>
          </c:cat>
          <c:val>
            <c:numRef>
              <c:f>Problem_Statements!$B$88:$B$100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6-4DCD-B646-E358C4A35C5E}"/>
            </c:ext>
          </c:extLst>
        </c:ser>
        <c:ser>
          <c:idx val="1"/>
          <c:order val="1"/>
          <c:tx>
            <c:strRef>
              <c:f>Problem_Statements!$C$87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Problem_Statements!$A$88:$A$100</c:f>
              <c:strCache>
                <c:ptCount val="13"/>
                <c:pt idx="0">
                  <c:v>PHELPS, Michael</c:v>
                </c:pt>
                <c:pt idx="1">
                  <c:v>ANDRIANOV, Nikolay</c:v>
                </c:pt>
                <c:pt idx="2">
                  <c:v>NEMOV, Alexei</c:v>
                </c:pt>
                <c:pt idx="3">
                  <c:v>THOMPSON, Jenny</c:v>
                </c:pt>
                <c:pt idx="4">
                  <c:v>TORRES, Dara</c:v>
                </c:pt>
                <c:pt idx="5">
                  <c:v>FISCHER, Birgit</c:v>
                </c:pt>
                <c:pt idx="6">
                  <c:v>COUGHLIN, Natalie</c:v>
                </c:pt>
                <c:pt idx="7">
                  <c:v>BIONDI, Matthew</c:v>
                </c:pt>
                <c:pt idx="8">
                  <c:v>SCHERBO, Vitaly</c:v>
                </c:pt>
                <c:pt idx="9">
                  <c:v>DITYATIN, Aleksandr</c:v>
                </c:pt>
                <c:pt idx="10">
                  <c:v>VAN ALMSICK, Franziska</c:v>
                </c:pt>
                <c:pt idx="11">
                  <c:v>HALL, Gary Jr.</c:v>
                </c:pt>
                <c:pt idx="12">
                  <c:v>LEWIS, Carl</c:v>
                </c:pt>
              </c:strCache>
            </c:strRef>
          </c:cat>
          <c:val>
            <c:numRef>
              <c:f>Problem_Statements!$C$88:$C$100</c:f>
              <c:numCache>
                <c:formatCode>General</c:formatCode>
                <c:ptCount val="13"/>
                <c:pt idx="0">
                  <c:v>14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8</c:v>
                </c:pt>
                <c:pt idx="8">
                  <c:v>6</c:v>
                </c:pt>
                <c:pt idx="9">
                  <c:v>3</c:v>
                </c:pt>
                <c:pt idx="11">
                  <c:v>5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6-4DCD-B646-E358C4A35C5E}"/>
            </c:ext>
          </c:extLst>
        </c:ser>
        <c:ser>
          <c:idx val="2"/>
          <c:order val="2"/>
          <c:tx>
            <c:strRef>
              <c:f>Problem_Statements!$D$87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Problem_Statements!$A$88:$A$100</c:f>
              <c:strCache>
                <c:ptCount val="13"/>
                <c:pt idx="0">
                  <c:v>PHELPS, Michael</c:v>
                </c:pt>
                <c:pt idx="1">
                  <c:v>ANDRIANOV, Nikolay</c:v>
                </c:pt>
                <c:pt idx="2">
                  <c:v>NEMOV, Alexei</c:v>
                </c:pt>
                <c:pt idx="3">
                  <c:v>THOMPSON, Jenny</c:v>
                </c:pt>
                <c:pt idx="4">
                  <c:v>TORRES, Dara</c:v>
                </c:pt>
                <c:pt idx="5">
                  <c:v>FISCHER, Birgit</c:v>
                </c:pt>
                <c:pt idx="6">
                  <c:v>COUGHLIN, Natalie</c:v>
                </c:pt>
                <c:pt idx="7">
                  <c:v>BIONDI, Matthew</c:v>
                </c:pt>
                <c:pt idx="8">
                  <c:v>SCHERBO, Vitaly</c:v>
                </c:pt>
                <c:pt idx="9">
                  <c:v>DITYATIN, Aleksandr</c:v>
                </c:pt>
                <c:pt idx="10">
                  <c:v>VAN ALMSICK, Franziska</c:v>
                </c:pt>
                <c:pt idx="11">
                  <c:v>HALL, Gary Jr.</c:v>
                </c:pt>
                <c:pt idx="12">
                  <c:v>LEWIS, Carl</c:v>
                </c:pt>
              </c:strCache>
            </c:strRef>
          </c:cat>
          <c:val>
            <c:numRef>
              <c:f>Problem_Statements!$D$88:$D$100</c:f>
              <c:numCache>
                <c:formatCode>General</c:formatCode>
                <c:ptCount val="13"/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6-4DCD-B646-E358C4A3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1060303"/>
        <c:axId val="1541061743"/>
      </c:barChart>
      <c:catAx>
        <c:axId val="154106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61743"/>
        <c:crosses val="autoZero"/>
        <c:auto val="1"/>
        <c:lblAlgn val="ctr"/>
        <c:lblOffset val="100"/>
        <c:noMultiLvlLbl val="0"/>
      </c:catAx>
      <c:valAx>
        <c:axId val="154106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6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Problem_Statements!$B$114</c:f>
              <c:strCache>
                <c:ptCount val="1"/>
                <c:pt idx="0">
                  <c:v>US Medals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Problem_Statements!$A$115:$A$122</c:f>
              <c:strCache>
                <c:ptCount val="8"/>
                <c:pt idx="0">
                  <c:v>1976</c:v>
                </c:pt>
                <c:pt idx="1">
                  <c:v>1984</c:v>
                </c:pt>
                <c:pt idx="2">
                  <c:v>1988</c:v>
                </c:pt>
                <c:pt idx="3">
                  <c:v>1992</c:v>
                </c:pt>
                <c:pt idx="4">
                  <c:v>1996</c:v>
                </c:pt>
                <c:pt idx="5">
                  <c:v>2000</c:v>
                </c:pt>
                <c:pt idx="6">
                  <c:v>2004</c:v>
                </c:pt>
                <c:pt idx="7">
                  <c:v>2008</c:v>
                </c:pt>
              </c:strCache>
            </c:strRef>
          </c:cat>
          <c:val>
            <c:numRef>
              <c:f>Problem_Statements!$B$115:$B$122</c:f>
              <c:numCache>
                <c:formatCode>General</c:formatCode>
                <c:ptCount val="8"/>
                <c:pt idx="0">
                  <c:v>155</c:v>
                </c:pt>
                <c:pt idx="1">
                  <c:v>333</c:v>
                </c:pt>
                <c:pt idx="2">
                  <c:v>193</c:v>
                </c:pt>
                <c:pt idx="3">
                  <c:v>224</c:v>
                </c:pt>
                <c:pt idx="4">
                  <c:v>260</c:v>
                </c:pt>
                <c:pt idx="5">
                  <c:v>248</c:v>
                </c:pt>
                <c:pt idx="6">
                  <c:v>264</c:v>
                </c:pt>
                <c:pt idx="7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4-4814-B5CA-C7885F3E5D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5730655"/>
        <c:axId val="1575734015"/>
      </c:lineChart>
      <c:catAx>
        <c:axId val="157573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7037379702537185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4015"/>
        <c:crosses val="autoZero"/>
        <c:auto val="1"/>
        <c:lblAlgn val="ctr"/>
        <c:lblOffset val="100"/>
        <c:noMultiLvlLbl val="0"/>
      </c:catAx>
      <c:valAx>
        <c:axId val="1575734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Medals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Home Advantage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Problem_Statements!$A$143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Problem_Statements!$A$144:$A$150</c:f>
              <c:numCache>
                <c:formatCode>General</c:formatCode>
                <c:ptCount val="7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E-46A0-817F-4AE5F466CC88}"/>
            </c:ext>
          </c:extLst>
        </c:ser>
        <c:ser>
          <c:idx val="1"/>
          <c:order val="1"/>
          <c:tx>
            <c:strRef>
              <c:f>Problem_Statements!$E$143</c:f>
              <c:strCache>
                <c:ptCount val="1"/>
                <c:pt idx="0">
                  <c:v>Boost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Problem_Statements!$E$144:$E$150</c:f>
              <c:numCache>
                <c:formatCode>0.00%</c:formatCode>
                <c:ptCount val="7"/>
                <c:pt idx="0">
                  <c:v>0.81818181818181823</c:v>
                </c:pt>
                <c:pt idx="1">
                  <c:v>1.2666666666666666</c:v>
                </c:pt>
                <c:pt idx="2">
                  <c:v>2.0833333333333335</c:v>
                </c:pt>
                <c:pt idx="3">
                  <c:v>1.40625</c:v>
                </c:pt>
                <c:pt idx="4">
                  <c:v>2</c:v>
                </c:pt>
                <c:pt idx="5">
                  <c:v>1.5242718446601942</c:v>
                </c:pt>
                <c:pt idx="6">
                  <c:v>2.1551724137931036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E-46A0-817F-4AE5F466C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820959"/>
        <c:axId val="855830079"/>
      </c:lineChart>
      <c:catAx>
        <c:axId val="85582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30079"/>
        <c:crosses val="autoZero"/>
        <c:auto val="1"/>
        <c:lblAlgn val="ctr"/>
        <c:lblOffset val="100"/>
        <c:noMultiLvlLbl val="0"/>
      </c:catAx>
      <c:valAx>
        <c:axId val="8558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2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Olympic Medal Progression: Bronze → Silver → Gold Conversion (1976-2008)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4223381313004665E-2"/>
          <c:y val="0.19078610603290677"/>
          <c:w val="0.90938269414020456"/>
          <c:h val="0.633735335185478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Problem_Statements!$B$160</c:f>
              <c:strCache>
                <c:ptCount val="1"/>
                <c:pt idx="0">
                  <c:v>Avg ΔBronze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Problem_Statements!$A$161:$A$166</c:f>
              <c:strCache>
                <c:ptCount val="6"/>
                <c:pt idx="0">
                  <c:v>Germany</c:v>
                </c:pt>
                <c:pt idx="1">
                  <c:v>United States</c:v>
                </c:pt>
                <c:pt idx="2">
                  <c:v>Soviet Union</c:v>
                </c:pt>
                <c:pt idx="3">
                  <c:v>Russia</c:v>
                </c:pt>
                <c:pt idx="4">
                  <c:v>Australia</c:v>
                </c:pt>
                <c:pt idx="5">
                  <c:v>China</c:v>
                </c:pt>
              </c:strCache>
            </c:strRef>
          </c:cat>
          <c:val>
            <c:numRef>
              <c:f>Problem_Statements!$B$161:$B$166</c:f>
              <c:numCache>
                <c:formatCode>0.00</c:formatCode>
                <c:ptCount val="6"/>
                <c:pt idx="0">
                  <c:v>-10.25</c:v>
                </c:pt>
                <c:pt idx="1">
                  <c:v>7.5714285714285712</c:v>
                </c:pt>
                <c:pt idx="2">
                  <c:v>-14</c:v>
                </c:pt>
                <c:pt idx="3">
                  <c:v>-0.33333333333333331</c:v>
                </c:pt>
                <c:pt idx="4">
                  <c:v>3.25</c:v>
                </c:pt>
                <c:pt idx="5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416-9887-D23AC5BC58F5}"/>
            </c:ext>
          </c:extLst>
        </c:ser>
        <c:ser>
          <c:idx val="1"/>
          <c:order val="1"/>
          <c:tx>
            <c:strRef>
              <c:f>Problem_Statements!$C$160</c:f>
              <c:strCache>
                <c:ptCount val="1"/>
                <c:pt idx="0">
                  <c:v>Avg ΔSilver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Problem_Statements!$A$161:$A$166</c:f>
              <c:strCache>
                <c:ptCount val="6"/>
                <c:pt idx="0">
                  <c:v>Germany</c:v>
                </c:pt>
                <c:pt idx="1">
                  <c:v>United States</c:v>
                </c:pt>
                <c:pt idx="2">
                  <c:v>Soviet Union</c:v>
                </c:pt>
                <c:pt idx="3">
                  <c:v>Russia</c:v>
                </c:pt>
                <c:pt idx="4">
                  <c:v>Australia</c:v>
                </c:pt>
                <c:pt idx="5">
                  <c:v>China</c:v>
                </c:pt>
              </c:strCache>
            </c:strRef>
          </c:cat>
          <c:val>
            <c:numRef>
              <c:f>Problem_Statements!$C$161:$C$166</c:f>
              <c:numCache>
                <c:formatCode>0.00</c:formatCode>
                <c:ptCount val="6"/>
                <c:pt idx="0">
                  <c:v>47.4</c:v>
                </c:pt>
                <c:pt idx="1">
                  <c:v>116</c:v>
                </c:pt>
                <c:pt idx="2">
                  <c:v>146.33333333333334</c:v>
                </c:pt>
                <c:pt idx="3">
                  <c:v>48</c:v>
                </c:pt>
                <c:pt idx="4">
                  <c:v>27</c:v>
                </c:pt>
                <c:pt idx="5">
                  <c:v>33.428571428571431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416-9887-D23AC5BC58F5}"/>
            </c:ext>
          </c:extLst>
        </c:ser>
        <c:ser>
          <c:idx val="2"/>
          <c:order val="2"/>
          <c:tx>
            <c:strRef>
              <c:f>Problem_Statements!$D$160</c:f>
              <c:strCache>
                <c:ptCount val="1"/>
                <c:pt idx="0">
                  <c:v>Avg ΔGold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Problem_Statements!$A$161:$A$166</c:f>
              <c:strCache>
                <c:ptCount val="6"/>
                <c:pt idx="0">
                  <c:v>Germany</c:v>
                </c:pt>
                <c:pt idx="1">
                  <c:v>United States</c:v>
                </c:pt>
                <c:pt idx="2">
                  <c:v>Soviet Union</c:v>
                </c:pt>
                <c:pt idx="3">
                  <c:v>Russia</c:v>
                </c:pt>
                <c:pt idx="4">
                  <c:v>Australia</c:v>
                </c:pt>
                <c:pt idx="5">
                  <c:v>China</c:v>
                </c:pt>
              </c:strCache>
            </c:strRef>
          </c:cat>
          <c:val>
            <c:numRef>
              <c:f>Problem_Statements!$D$161:$D$166</c:f>
              <c:numCache>
                <c:formatCode>0.00</c:formatCode>
                <c:ptCount val="6"/>
                <c:pt idx="0">
                  <c:v>-9.75</c:v>
                </c:pt>
                <c:pt idx="1">
                  <c:v>8.8571428571428577</c:v>
                </c:pt>
                <c:pt idx="2">
                  <c:v>10.5</c:v>
                </c:pt>
                <c:pt idx="3">
                  <c:v>2.3333333333333335</c:v>
                </c:pt>
                <c:pt idx="4">
                  <c:v>3.875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7-4416-9887-D23AC5BC5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15647"/>
        <c:axId val="853592399"/>
      </c:barChart>
      <c:catAx>
        <c:axId val="85351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2399"/>
        <c:crosses val="autoZero"/>
        <c:auto val="1"/>
        <c:lblAlgn val="ctr"/>
        <c:lblOffset val="100"/>
        <c:noMultiLvlLbl val="0"/>
      </c:catAx>
      <c:valAx>
        <c:axId val="85359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Olympic Medal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Problem_Statements!$C$193</c:f>
              <c:strCache>
                <c:ptCount val="1"/>
                <c:pt idx="0">
                  <c:v>Success Score   (Out of 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Problem_Statements!$B$194:$B$198</c:f>
              <c:strCache>
                <c:ptCount val="5"/>
                <c:pt idx="0">
                  <c:v>Germany</c:v>
                </c:pt>
                <c:pt idx="1">
                  <c:v>USA</c:v>
                </c:pt>
                <c:pt idx="2">
                  <c:v>Soviet Union</c:v>
                </c:pt>
                <c:pt idx="3">
                  <c:v>Russia</c:v>
                </c:pt>
                <c:pt idx="4">
                  <c:v>Australia</c:v>
                </c:pt>
              </c:strCache>
            </c:strRef>
          </c:cat>
          <c:val>
            <c:numRef>
              <c:f>Problem_Statements!$C$194:$C$198</c:f>
              <c:numCache>
                <c:formatCode>0.00</c:formatCode>
                <c:ptCount val="5"/>
                <c:pt idx="0">
                  <c:v>2.25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D-426C-BFD2-A5E82F73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563743"/>
        <c:axId val="471566623"/>
      </c:barChart>
      <c:catAx>
        <c:axId val="47156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Top 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66623"/>
        <c:crosses val="autoZero"/>
        <c:auto val="1"/>
        <c:lblAlgn val="ctr"/>
        <c:lblOffset val="100"/>
        <c:noMultiLvlLbl val="0"/>
      </c:catAx>
      <c:valAx>
        <c:axId val="4715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Success Score   (Out of 3)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2971456692913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6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Sport Discipline Deep Dive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Problem_Statements!$B$203</c:f>
              <c:strCache>
                <c:ptCount val="1"/>
                <c:pt idx="0">
                  <c:v>Gold Medals (1976- 2008)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Problem_Statements!$A$204:$A$218</c:f>
              <c:strCache>
                <c:ptCount val="15"/>
                <c:pt idx="0">
                  <c:v>Athletics</c:v>
                </c:pt>
                <c:pt idx="1">
                  <c:v>Swimming</c:v>
                </c:pt>
                <c:pt idx="2">
                  <c:v>Rowing</c:v>
                </c:pt>
                <c:pt idx="3">
                  <c:v>Hockey</c:v>
                </c:pt>
                <c:pt idx="4">
                  <c:v>Handball</c:v>
                </c:pt>
                <c:pt idx="5">
                  <c:v>Artistic Gymnastics</c:v>
                </c:pt>
                <c:pt idx="6">
                  <c:v>Football</c:v>
                </c:pt>
                <c:pt idx="7">
                  <c:v>Basketball</c:v>
                </c:pt>
                <c:pt idx="8">
                  <c:v>Volleyball</c:v>
                </c:pt>
                <c:pt idx="9">
                  <c:v>Fencing</c:v>
                </c:pt>
                <c:pt idx="10">
                  <c:v>Canoe / Kayak F</c:v>
                </c:pt>
                <c:pt idx="11">
                  <c:v>Water polo</c:v>
                </c:pt>
                <c:pt idx="12">
                  <c:v>Sailing</c:v>
                </c:pt>
                <c:pt idx="13">
                  <c:v>Shooting</c:v>
                </c:pt>
                <c:pt idx="14">
                  <c:v>Baseball</c:v>
                </c:pt>
              </c:strCache>
            </c:strRef>
          </c:cat>
          <c:val>
            <c:numRef>
              <c:f>Problem_Statements!$B$204:$B$218</c:f>
              <c:numCache>
                <c:formatCode>General</c:formatCode>
                <c:ptCount val="15"/>
                <c:pt idx="0">
                  <c:v>504</c:v>
                </c:pt>
                <c:pt idx="1">
                  <c:v>493</c:v>
                </c:pt>
                <c:pt idx="2">
                  <c:v>459</c:v>
                </c:pt>
                <c:pt idx="3">
                  <c:v>273</c:v>
                </c:pt>
                <c:pt idx="4">
                  <c:v>256</c:v>
                </c:pt>
                <c:pt idx="5">
                  <c:v>229</c:v>
                </c:pt>
                <c:pt idx="6">
                  <c:v>219</c:v>
                </c:pt>
                <c:pt idx="7">
                  <c:v>216</c:v>
                </c:pt>
                <c:pt idx="8">
                  <c:v>216</c:v>
                </c:pt>
                <c:pt idx="9">
                  <c:v>203</c:v>
                </c:pt>
                <c:pt idx="10">
                  <c:v>199</c:v>
                </c:pt>
                <c:pt idx="11">
                  <c:v>152</c:v>
                </c:pt>
                <c:pt idx="12">
                  <c:v>139</c:v>
                </c:pt>
                <c:pt idx="13">
                  <c:v>115</c:v>
                </c:pt>
                <c:pt idx="1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1-4CC6-95F0-E652F7F77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995311"/>
        <c:axId val="401996751"/>
      </c:barChart>
      <c:catAx>
        <c:axId val="4019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96751"/>
        <c:crosses val="autoZero"/>
        <c:auto val="1"/>
        <c:lblAlgn val="ctr"/>
        <c:lblOffset val="100"/>
        <c:noMultiLvlLbl val="0"/>
      </c:catAx>
      <c:valAx>
        <c:axId val="4019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9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587375</xdr:colOff>
      <xdr:row>3</xdr:row>
      <xdr:rowOff>12700</xdr:rowOff>
    </xdr:from>
    <xdr:to>
      <xdr:col>14</xdr:col>
      <xdr:colOff>282575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DE07C-92D5-4C52-8A62-855DBB405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22</xdr:row>
      <xdr:rowOff>69850</xdr:rowOff>
    </xdr:from>
    <xdr:to>
      <xdr:col>14</xdr:col>
      <xdr:colOff>257175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DC1FD-C9AD-4BB7-A6E7-75859B573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22225</xdr:colOff>
      <xdr:row>64</xdr:row>
      <xdr:rowOff>107950</xdr:rowOff>
    </xdr:from>
    <xdr:to>
      <xdr:col>14</xdr:col>
      <xdr:colOff>327025</xdr:colOff>
      <xdr:row>80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EAA7D2-89A6-4B79-BB76-52A3C8822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219075</xdr:colOff>
      <xdr:row>44</xdr:row>
      <xdr:rowOff>95250</xdr:rowOff>
    </xdr:from>
    <xdr:to>
      <xdr:col>14</xdr:col>
      <xdr:colOff>127000</xdr:colOff>
      <xdr:row>61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A38107-E518-4310-B7D2-F952FAE35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</xdr:colOff>
      <xdr:row>84</xdr:row>
      <xdr:rowOff>171450</xdr:rowOff>
    </xdr:from>
    <xdr:to>
      <xdr:col>14</xdr:col>
      <xdr:colOff>314325</xdr:colOff>
      <xdr:row>99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85ED6B-D74C-4691-A5A4-1A119B291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9525</xdr:colOff>
      <xdr:row>113</xdr:row>
      <xdr:rowOff>6350</xdr:rowOff>
    </xdr:from>
    <xdr:to>
      <xdr:col>14</xdr:col>
      <xdr:colOff>314325</xdr:colOff>
      <xdr:row>127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020A29-0091-436E-8BA9-6C4284D9A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15875</xdr:colOff>
      <xdr:row>141</xdr:row>
      <xdr:rowOff>0</xdr:rowOff>
    </xdr:from>
    <xdr:to>
      <xdr:col>14</xdr:col>
      <xdr:colOff>320675</xdr:colOff>
      <xdr:row>154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6756B6-274E-4FA2-A65C-936ABDC07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600074</xdr:colOff>
      <xdr:row>157</xdr:row>
      <xdr:rowOff>6350</xdr:rowOff>
    </xdr:from>
    <xdr:to>
      <xdr:col>18</xdr:col>
      <xdr:colOff>374649</xdr:colOff>
      <xdr:row>175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11E350-62FB-4700-AB84-079D5D834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15875</xdr:colOff>
      <xdr:row>186</xdr:row>
      <xdr:rowOff>6350</xdr:rowOff>
    </xdr:from>
    <xdr:to>
      <xdr:col>15</xdr:col>
      <xdr:colOff>320675</xdr:colOff>
      <xdr:row>197</xdr:row>
      <xdr:rowOff>349250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368F04-EB7A-4A8C-B22E-9CDA18FE6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3175</xdr:colOff>
      <xdr:row>202</xdr:row>
      <xdr:rowOff>177800</xdr:rowOff>
    </xdr:from>
    <xdr:to>
      <xdr:col>14</xdr:col>
      <xdr:colOff>307975</xdr:colOff>
      <xdr:row>217</xdr:row>
      <xdr:rowOff>158750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0C04178-CFEE-438F-94DC-BC26ACAF0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me\OneDrive\Personal_Projects\Unified_Mentor\Excel_Olympics%20Data%20Analysis\Olympics_Medals_1976_2008_V1.2.xlsx" TargetMode="External"/><Relationship Id="rId1" Type="http://schemas.openxmlformats.org/officeDocument/2006/relationships/externalLinkPath" Target="Olympics_Medals_1976_2008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_Statements"/>
      <sheetName val="Discipline Deep Dive (Top 3 Spo"/>
      <sheetName val="Playground"/>
      <sheetName val="Home_Advantage"/>
      <sheetName val="Host_Countries"/>
      <sheetName val="HostsTable"/>
      <sheetName val="Sheet5"/>
      <sheetName val="Country_Year_Medals"/>
      <sheetName val="Progression_Summary"/>
      <sheetName val="Sport_Discipline"/>
      <sheetName val="Raw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Country</v>
          </cell>
          <cell r="F1" t="str">
            <v xml:space="preserve"> ΔSilver</v>
          </cell>
          <cell r="G1" t="str">
            <v>Gold</v>
          </cell>
          <cell r="H1" t="str">
            <v xml:space="preserve"> ΔGold</v>
          </cell>
          <cell r="J1" t="str">
            <v>Gold/Bronze Ratio</v>
          </cell>
          <cell r="K1" t="str">
            <v>Success Score</v>
          </cell>
        </row>
        <row r="2">
          <cell r="A2" t="str">
            <v>United States</v>
          </cell>
          <cell r="G2">
            <v>63</v>
          </cell>
          <cell r="J2" t="str">
            <v/>
          </cell>
          <cell r="K2">
            <v>2</v>
          </cell>
        </row>
        <row r="3">
          <cell r="A3" t="str">
            <v>United States</v>
          </cell>
          <cell r="F3">
            <v>59</v>
          </cell>
          <cell r="G3">
            <v>168</v>
          </cell>
          <cell r="H3">
            <v>105</v>
          </cell>
          <cell r="J3">
            <v>3.36</v>
          </cell>
          <cell r="K3">
            <v>2</v>
          </cell>
        </row>
        <row r="4">
          <cell r="A4" t="str">
            <v>United States</v>
          </cell>
          <cell r="F4">
            <v>-51</v>
          </cell>
          <cell r="G4">
            <v>77</v>
          </cell>
          <cell r="H4">
            <v>-91</v>
          </cell>
          <cell r="J4">
            <v>1.4807692307692308</v>
          </cell>
          <cell r="K4">
            <v>3</v>
          </cell>
        </row>
        <row r="5">
          <cell r="A5" t="str">
            <v>United States</v>
          </cell>
          <cell r="F5">
            <v>-14</v>
          </cell>
          <cell r="G5">
            <v>89</v>
          </cell>
          <cell r="H5">
            <v>12</v>
          </cell>
          <cell r="J5">
            <v>1.0470588235294118</v>
          </cell>
          <cell r="K5">
            <v>3</v>
          </cell>
        </row>
        <row r="6">
          <cell r="A6" t="str">
            <v>United States</v>
          </cell>
          <cell r="F6">
            <v>-2</v>
          </cell>
          <cell r="G6">
            <v>160</v>
          </cell>
          <cell r="H6">
            <v>71</v>
          </cell>
          <cell r="J6">
            <v>3.0769230769230771</v>
          </cell>
          <cell r="K6">
            <v>1</v>
          </cell>
        </row>
        <row r="7">
          <cell r="A7" t="str">
            <v>United States</v>
          </cell>
          <cell r="F7">
            <v>18</v>
          </cell>
          <cell r="G7">
            <v>130</v>
          </cell>
          <cell r="H7">
            <v>-30</v>
          </cell>
          <cell r="J7">
            <v>2.5</v>
          </cell>
          <cell r="K7">
            <v>1</v>
          </cell>
        </row>
        <row r="8">
          <cell r="A8" t="str">
            <v>United States</v>
          </cell>
          <cell r="F8">
            <v>9</v>
          </cell>
          <cell r="G8">
            <v>116</v>
          </cell>
          <cell r="H8">
            <v>-14</v>
          </cell>
          <cell r="J8">
            <v>1.5890410958904109</v>
          </cell>
          <cell r="K8">
            <v>2</v>
          </cell>
        </row>
        <row r="9">
          <cell r="A9" t="str">
            <v>United States</v>
          </cell>
          <cell r="F9">
            <v>34</v>
          </cell>
          <cell r="G9">
            <v>125</v>
          </cell>
          <cell r="H9">
            <v>9</v>
          </cell>
          <cell r="J9">
            <v>1.5432098765432098</v>
          </cell>
          <cell r="K9" t="str">
            <v/>
          </cell>
        </row>
        <row r="10">
          <cell r="A10" t="str">
            <v>Soviet Union</v>
          </cell>
          <cell r="F10" t="str">
            <v/>
          </cell>
          <cell r="G10">
            <v>113</v>
          </cell>
          <cell r="H10" t="str">
            <v/>
          </cell>
          <cell r="J10" t="str">
            <v/>
          </cell>
          <cell r="K10">
            <v>2</v>
          </cell>
        </row>
        <row r="11">
          <cell r="A11" t="str">
            <v>Soviet Union</v>
          </cell>
          <cell r="F11">
            <v>34</v>
          </cell>
          <cell r="G11">
            <v>192</v>
          </cell>
          <cell r="H11">
            <v>79</v>
          </cell>
          <cell r="J11">
            <v>1.5609756097560976</v>
          </cell>
          <cell r="K11">
            <v>2</v>
          </cell>
        </row>
        <row r="12">
          <cell r="A12" t="str">
            <v>Soviet Union</v>
          </cell>
          <cell r="F12">
            <v>-62</v>
          </cell>
          <cell r="G12">
            <v>134</v>
          </cell>
          <cell r="H12">
            <v>-58</v>
          </cell>
          <cell r="J12">
            <v>1.4105263157894736</v>
          </cell>
          <cell r="K12" t="str">
            <v/>
          </cell>
        </row>
        <row r="13">
          <cell r="A13" t="str">
            <v>Australia</v>
          </cell>
          <cell r="F13" t="str">
            <v/>
          </cell>
          <cell r="H13" t="str">
            <v/>
          </cell>
          <cell r="J13" t="str">
            <v/>
          </cell>
          <cell r="K13">
            <v>3</v>
          </cell>
        </row>
        <row r="14">
          <cell r="A14" t="str">
            <v>Australia</v>
          </cell>
          <cell r="F14">
            <v>-14</v>
          </cell>
          <cell r="G14">
            <v>5</v>
          </cell>
          <cell r="H14">
            <v>5</v>
          </cell>
          <cell r="J14">
            <v>1</v>
          </cell>
          <cell r="K14">
            <v>1</v>
          </cell>
        </row>
        <row r="15">
          <cell r="A15" t="str">
            <v>Australia</v>
          </cell>
          <cell r="F15">
            <v>12</v>
          </cell>
          <cell r="G15">
            <v>7</v>
          </cell>
          <cell r="H15">
            <v>2</v>
          </cell>
          <cell r="J15">
            <v>0.2413793103448276</v>
          </cell>
          <cell r="K15">
            <v>3</v>
          </cell>
        </row>
        <row r="16">
          <cell r="A16" t="str">
            <v>Australia</v>
          </cell>
          <cell r="F16">
            <v>-8</v>
          </cell>
          <cell r="G16">
            <v>18</v>
          </cell>
          <cell r="H16">
            <v>11</v>
          </cell>
          <cell r="J16">
            <v>1.8</v>
          </cell>
          <cell r="K16">
            <v>0</v>
          </cell>
        </row>
        <row r="17">
          <cell r="A17" t="str">
            <v>Australia</v>
          </cell>
          <cell r="F17">
            <v>21</v>
          </cell>
          <cell r="G17">
            <v>14</v>
          </cell>
          <cell r="H17">
            <v>-4</v>
          </cell>
          <cell r="J17">
            <v>0.875</v>
          </cell>
          <cell r="K17">
            <v>3</v>
          </cell>
        </row>
        <row r="18">
          <cell r="A18" t="str">
            <v>Australia</v>
          </cell>
          <cell r="F18">
            <v>-11</v>
          </cell>
          <cell r="G18">
            <v>32</v>
          </cell>
          <cell r="H18">
            <v>18</v>
          </cell>
          <cell r="J18">
            <v>0.38095238095238093</v>
          </cell>
          <cell r="K18">
            <v>2</v>
          </cell>
        </row>
        <row r="19">
          <cell r="A19" t="str">
            <v>Australia</v>
          </cell>
          <cell r="F19">
            <v>53</v>
          </cell>
          <cell r="G19">
            <v>60</v>
          </cell>
          <cell r="H19">
            <v>28</v>
          </cell>
          <cell r="J19">
            <v>1.1111111111111112</v>
          </cell>
          <cell r="K19">
            <v>1</v>
          </cell>
        </row>
        <row r="20">
          <cell r="A20" t="str">
            <v>Australia</v>
          </cell>
          <cell r="F20">
            <v>9</v>
          </cell>
          <cell r="G20">
            <v>49</v>
          </cell>
          <cell r="H20">
            <v>-11</v>
          </cell>
          <cell r="J20">
            <v>1.6333333333333333</v>
          </cell>
          <cell r="K20">
            <v>2</v>
          </cell>
        </row>
        <row r="21">
          <cell r="A21" t="str">
            <v>Australia</v>
          </cell>
          <cell r="F21">
            <v>-36</v>
          </cell>
          <cell r="G21">
            <v>31</v>
          </cell>
          <cell r="H21">
            <v>-18</v>
          </cell>
          <cell r="J21">
            <v>0.40789473684210525</v>
          </cell>
          <cell r="K21" t="str">
            <v/>
          </cell>
        </row>
        <row r="22">
          <cell r="A22" t="str">
            <v>Germany</v>
          </cell>
          <cell r="F22" t="str">
            <v/>
          </cell>
          <cell r="G22">
            <v>81</v>
          </cell>
          <cell r="H22" t="str">
            <v/>
          </cell>
          <cell r="J22" t="str">
            <v/>
          </cell>
          <cell r="K22">
            <v>2</v>
          </cell>
        </row>
        <row r="23">
          <cell r="A23" t="str">
            <v>Germany</v>
          </cell>
          <cell r="F23">
            <v>-22</v>
          </cell>
          <cell r="G23">
            <v>42</v>
          </cell>
          <cell r="H23">
            <v>-39</v>
          </cell>
          <cell r="J23">
            <v>0.8936170212765957</v>
          </cell>
          <cell r="K23">
            <v>2</v>
          </cell>
        </row>
        <row r="24">
          <cell r="A24" t="str">
            <v>Germany</v>
          </cell>
          <cell r="F24">
            <v>-12</v>
          </cell>
          <cell r="G24">
            <v>31</v>
          </cell>
          <cell r="H24">
            <v>-11</v>
          </cell>
          <cell r="J24">
            <v>0.47692307692307695</v>
          </cell>
          <cell r="K24">
            <v>2</v>
          </cell>
        </row>
        <row r="25">
          <cell r="A25" t="str">
            <v>Germany</v>
          </cell>
          <cell r="F25">
            <v>22</v>
          </cell>
          <cell r="G25">
            <v>41</v>
          </cell>
          <cell r="H25">
            <v>10</v>
          </cell>
          <cell r="J25">
            <v>0.65079365079365081</v>
          </cell>
          <cell r="K25">
            <v>3</v>
          </cell>
        </row>
        <row r="26">
          <cell r="A26" t="str">
            <v>Germany</v>
          </cell>
          <cell r="F26">
            <v>-29</v>
          </cell>
          <cell r="G26">
            <v>42</v>
          </cell>
          <cell r="H26">
            <v>1</v>
          </cell>
          <cell r="J26">
            <v>0.97674418604651159</v>
          </cell>
          <cell r="K26" t="str">
            <v/>
          </cell>
        </row>
        <row r="27">
          <cell r="A27" t="str">
            <v>China</v>
          </cell>
          <cell r="F27" t="str">
            <v/>
          </cell>
          <cell r="G27">
            <v>26</v>
          </cell>
          <cell r="H27" t="str">
            <v/>
          </cell>
          <cell r="J27" t="str">
            <v/>
          </cell>
          <cell r="K27">
            <v>1</v>
          </cell>
        </row>
        <row r="28">
          <cell r="A28" t="str">
            <v>China</v>
          </cell>
          <cell r="F28">
            <v>3</v>
          </cell>
          <cell r="G28">
            <v>6</v>
          </cell>
          <cell r="H28">
            <v>-20</v>
          </cell>
          <cell r="J28">
            <v>0.19354838709677419</v>
          </cell>
          <cell r="K28">
            <v>1</v>
          </cell>
        </row>
        <row r="29">
          <cell r="A29" t="str">
            <v>China</v>
          </cell>
          <cell r="F29">
            <v>30</v>
          </cell>
          <cell r="G29">
            <v>18</v>
          </cell>
          <cell r="H29">
            <v>12</v>
          </cell>
          <cell r="J29">
            <v>0.94736842105263153</v>
          </cell>
          <cell r="K29">
            <v>1</v>
          </cell>
        </row>
        <row r="30">
          <cell r="A30" t="str">
            <v>China</v>
          </cell>
          <cell r="F30">
            <v>28</v>
          </cell>
          <cell r="G30">
            <v>19</v>
          </cell>
          <cell r="H30">
            <v>1</v>
          </cell>
          <cell r="J30">
            <v>1.1176470588235294</v>
          </cell>
          <cell r="K30">
            <v>3</v>
          </cell>
        </row>
        <row r="31">
          <cell r="A31" t="str">
            <v>China</v>
          </cell>
          <cell r="F31">
            <v>-51</v>
          </cell>
          <cell r="G31">
            <v>39</v>
          </cell>
          <cell r="H31">
            <v>20</v>
          </cell>
          <cell r="J31">
            <v>2.2941176470588234</v>
          </cell>
          <cell r="K31">
            <v>2</v>
          </cell>
        </row>
        <row r="32">
          <cell r="A32" t="str">
            <v>China</v>
          </cell>
          <cell r="F32">
            <v>4</v>
          </cell>
          <cell r="G32">
            <v>52</v>
          </cell>
          <cell r="H32">
            <v>13</v>
          </cell>
          <cell r="J32">
            <v>3.4666666666666668</v>
          </cell>
          <cell r="K32">
            <v>2</v>
          </cell>
        </row>
        <row r="33">
          <cell r="A33" t="str">
            <v>China</v>
          </cell>
          <cell r="F33">
            <v>26</v>
          </cell>
          <cell r="G33">
            <v>74</v>
          </cell>
          <cell r="H33">
            <v>22</v>
          </cell>
          <cell r="J33">
            <v>1.2982456140350878</v>
          </cell>
          <cell r="K33" t="str">
            <v/>
          </cell>
        </row>
        <row r="34">
          <cell r="A34" t="str">
            <v>Russia</v>
          </cell>
          <cell r="F34" t="str">
            <v/>
          </cell>
          <cell r="G34">
            <v>36</v>
          </cell>
          <cell r="H34" t="str">
            <v/>
          </cell>
          <cell r="J34" t="str">
            <v/>
          </cell>
          <cell r="K34">
            <v>2</v>
          </cell>
        </row>
        <row r="35">
          <cell r="A35" t="str">
            <v>Russia</v>
          </cell>
          <cell r="F35">
            <v>23</v>
          </cell>
          <cell r="G35">
            <v>66</v>
          </cell>
          <cell r="H35">
            <v>30</v>
          </cell>
          <cell r="J35">
            <v>1.2222222222222223</v>
          </cell>
          <cell r="K35">
            <v>2</v>
          </cell>
        </row>
        <row r="36">
          <cell r="A36" t="str">
            <v>Russia</v>
          </cell>
          <cell r="F36">
            <v>-19</v>
          </cell>
          <cell r="G36">
            <v>47</v>
          </cell>
          <cell r="H36">
            <v>-19</v>
          </cell>
          <cell r="J36">
            <v>0.48958333333333331</v>
          </cell>
          <cell r="K36">
            <v>2</v>
          </cell>
        </row>
        <row r="37">
          <cell r="A37" t="str">
            <v>Russia</v>
          </cell>
          <cell r="F37">
            <v>-5</v>
          </cell>
          <cell r="G37">
            <v>43</v>
          </cell>
          <cell r="H37">
            <v>-4</v>
          </cell>
          <cell r="J37">
            <v>0.7678571428571429</v>
          </cell>
          <cell r="K37" t="str">
            <v/>
          </cell>
        </row>
        <row r="38">
          <cell r="F38" t="str">
            <v/>
          </cell>
          <cell r="H38" t="str">
            <v/>
          </cell>
        </row>
      </sheetData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7128-7A13-41FA-AD0A-21EB13297753}">
  <dimension ref="A3:G231"/>
  <sheetViews>
    <sheetView tabSelected="1" topLeftCell="A72" workbookViewId="0">
      <selection activeCell="Q62" sqref="Q62"/>
    </sheetView>
  </sheetViews>
  <sheetFormatPr defaultRowHeight="14.5"/>
  <cols>
    <col min="1" max="1" width="16.7265625" customWidth="1"/>
    <col min="2" max="2" width="10.81640625" customWidth="1"/>
    <col min="3" max="3" width="10.08984375" customWidth="1"/>
    <col min="4" max="5" width="9.26953125" customWidth="1"/>
    <col min="6" max="6" width="11.81640625" bestFit="1" customWidth="1"/>
    <col min="7" max="7" width="18.6328125" customWidth="1"/>
  </cols>
  <sheetData>
    <row r="3" spans="1:6">
      <c r="A3" s="1" t="s">
        <v>0</v>
      </c>
    </row>
    <row r="5" spans="1:6">
      <c r="A5" s="34" t="s">
        <v>1</v>
      </c>
      <c r="B5" s="34"/>
      <c r="C5" s="34"/>
      <c r="D5" s="34"/>
      <c r="E5" s="34"/>
    </row>
    <row r="6" spans="1:6">
      <c r="A6" s="2" t="s">
        <v>2</v>
      </c>
      <c r="B6" s="2" t="s">
        <v>3</v>
      </c>
      <c r="C6" s="2" t="s">
        <v>4</v>
      </c>
      <c r="D6" s="2" t="s">
        <v>5</v>
      </c>
      <c r="E6" s="34" t="s">
        <v>6</v>
      </c>
      <c r="F6" s="34"/>
    </row>
    <row r="7" spans="1:6">
      <c r="A7" s="3" t="s">
        <v>7</v>
      </c>
      <c r="B7" s="4">
        <v>481</v>
      </c>
      <c r="C7" s="4">
        <v>928</v>
      </c>
      <c r="D7" s="4">
        <v>583</v>
      </c>
      <c r="E7" s="34">
        <v>1992</v>
      </c>
      <c r="F7" s="34"/>
    </row>
    <row r="8" spans="1:6">
      <c r="A8" s="3" t="s">
        <v>8</v>
      </c>
      <c r="B8" s="4">
        <v>297</v>
      </c>
      <c r="C8" s="4">
        <v>439</v>
      </c>
      <c r="D8" s="4">
        <v>285</v>
      </c>
      <c r="E8" s="34">
        <v>1021</v>
      </c>
      <c r="F8" s="34"/>
    </row>
    <row r="9" spans="1:6">
      <c r="A9" s="3" t="s">
        <v>9</v>
      </c>
      <c r="B9" s="4">
        <v>312</v>
      </c>
      <c r="C9" s="4">
        <v>216</v>
      </c>
      <c r="D9" s="4">
        <v>270</v>
      </c>
      <c r="E9" s="34">
        <v>798</v>
      </c>
      <c r="F9" s="34"/>
    </row>
    <row r="10" spans="1:6">
      <c r="A10" s="3" t="s">
        <v>10</v>
      </c>
      <c r="B10" s="4">
        <v>278</v>
      </c>
      <c r="C10" s="4">
        <v>237</v>
      </c>
      <c r="D10" s="4">
        <v>176</v>
      </c>
      <c r="E10" s="34">
        <v>691</v>
      </c>
      <c r="F10" s="34"/>
    </row>
    <row r="11" spans="1:6">
      <c r="A11" s="3" t="s">
        <v>11</v>
      </c>
      <c r="B11" s="4">
        <v>193</v>
      </c>
      <c r="C11" s="4">
        <v>234</v>
      </c>
      <c r="D11" s="4">
        <v>252</v>
      </c>
      <c r="E11" s="34">
        <v>679</v>
      </c>
      <c r="F11" s="34"/>
    </row>
    <row r="12" spans="1:6">
      <c r="A12" s="3" t="s">
        <v>12</v>
      </c>
      <c r="B12" s="4">
        <v>240</v>
      </c>
      <c r="C12" s="4">
        <v>192</v>
      </c>
      <c r="D12" s="4">
        <v>206</v>
      </c>
      <c r="E12" s="34">
        <v>638</v>
      </c>
      <c r="F12" s="34"/>
    </row>
    <row r="13" spans="1:6">
      <c r="A13" s="3" t="s">
        <v>13</v>
      </c>
      <c r="B13" s="4">
        <v>150</v>
      </c>
      <c r="C13" s="4">
        <v>286</v>
      </c>
      <c r="D13" s="4">
        <v>190</v>
      </c>
      <c r="E13" s="34">
        <v>626</v>
      </c>
      <c r="F13" s="34"/>
    </row>
    <row r="14" spans="1:6">
      <c r="A14" s="3" t="s">
        <v>14</v>
      </c>
      <c r="B14" s="4">
        <v>178</v>
      </c>
      <c r="C14" s="4">
        <v>145</v>
      </c>
      <c r="D14" s="4">
        <v>163</v>
      </c>
      <c r="E14" s="34">
        <v>486</v>
      </c>
      <c r="F14" s="34"/>
    </row>
    <row r="15" spans="1:6">
      <c r="A15" s="3" t="s">
        <v>15</v>
      </c>
      <c r="B15" s="4">
        <v>190</v>
      </c>
      <c r="C15" s="4">
        <v>135</v>
      </c>
      <c r="D15" s="4">
        <v>157</v>
      </c>
      <c r="E15" s="34">
        <v>482</v>
      </c>
      <c r="F15" s="34"/>
    </row>
    <row r="16" spans="1:6">
      <c r="A16" s="3" t="s">
        <v>16</v>
      </c>
      <c r="B16" s="4">
        <v>188</v>
      </c>
      <c r="C16" s="4">
        <v>122</v>
      </c>
      <c r="D16" s="4">
        <v>157</v>
      </c>
      <c r="E16" s="34">
        <v>467</v>
      </c>
      <c r="F16" s="34"/>
    </row>
    <row r="17" spans="1:6">
      <c r="A17" s="3"/>
      <c r="B17" s="4"/>
      <c r="C17" s="4"/>
      <c r="D17" s="4"/>
      <c r="E17" s="35"/>
      <c r="F17" s="35"/>
    </row>
    <row r="24" spans="1:6">
      <c r="A24" s="1" t="s">
        <v>17</v>
      </c>
    </row>
    <row r="25" spans="1:6">
      <c r="A25" s="38" t="s">
        <v>18</v>
      </c>
      <c r="B25" s="38" t="s">
        <v>19</v>
      </c>
      <c r="C25" s="38" t="s">
        <v>20</v>
      </c>
      <c r="D25" s="38" t="s">
        <v>6</v>
      </c>
      <c r="E25" s="38"/>
    </row>
    <row r="26" spans="1:6">
      <c r="A26" s="38"/>
      <c r="B26" s="38"/>
      <c r="C26" s="38"/>
      <c r="D26" s="38"/>
      <c r="E26" s="38"/>
    </row>
    <row r="27" spans="1:6">
      <c r="A27" s="4" t="s">
        <v>21</v>
      </c>
      <c r="B27" s="4">
        <v>924</v>
      </c>
      <c r="C27" s="4">
        <v>381</v>
      </c>
      <c r="D27" s="35">
        <v>1305</v>
      </c>
      <c r="E27" s="35"/>
    </row>
    <row r="28" spans="1:6">
      <c r="A28" s="4" t="s">
        <v>22</v>
      </c>
      <c r="B28" s="4">
        <v>958</v>
      </c>
      <c r="C28" s="4">
        <v>429</v>
      </c>
      <c r="D28" s="35">
        <v>1387</v>
      </c>
      <c r="E28" s="35"/>
    </row>
    <row r="29" spans="1:6">
      <c r="A29" s="4" t="s">
        <v>23</v>
      </c>
      <c r="B29" s="4">
        <v>973</v>
      </c>
      <c r="C29" s="4">
        <v>486</v>
      </c>
      <c r="D29" s="35">
        <v>1459</v>
      </c>
      <c r="E29" s="35"/>
    </row>
    <row r="30" spans="1:6">
      <c r="A30" s="4" t="s">
        <v>24</v>
      </c>
      <c r="B30" s="4">
        <v>1011</v>
      </c>
      <c r="C30" s="4">
        <v>535</v>
      </c>
      <c r="D30" s="35">
        <v>1546</v>
      </c>
      <c r="E30" s="35"/>
    </row>
    <row r="31" spans="1:6">
      <c r="A31" s="4" t="s">
        <v>25</v>
      </c>
      <c r="B31" s="4">
        <v>1105</v>
      </c>
      <c r="C31" s="4">
        <v>600</v>
      </c>
      <c r="D31" s="35">
        <v>1705</v>
      </c>
      <c r="E31" s="35"/>
    </row>
    <row r="32" spans="1:6">
      <c r="A32" s="4" t="s">
        <v>26</v>
      </c>
      <c r="B32" s="4">
        <v>1082</v>
      </c>
      <c r="C32" s="4">
        <v>777</v>
      </c>
      <c r="D32" s="35">
        <v>1859</v>
      </c>
      <c r="E32" s="35"/>
    </row>
    <row r="33" spans="1:5">
      <c r="A33" s="4" t="s">
        <v>27</v>
      </c>
      <c r="B33" s="4">
        <v>1126</v>
      </c>
      <c r="C33" s="4">
        <v>889</v>
      </c>
      <c r="D33" s="35">
        <v>2015</v>
      </c>
      <c r="E33" s="35"/>
    </row>
    <row r="34" spans="1:5">
      <c r="A34" s="4" t="s">
        <v>28</v>
      </c>
      <c r="B34" s="4">
        <v>1099</v>
      </c>
      <c r="C34" s="4">
        <v>899</v>
      </c>
      <c r="D34" s="35">
        <v>1998</v>
      </c>
      <c r="E34" s="35"/>
    </row>
    <row r="35" spans="1:5">
      <c r="A35" s="4" t="s">
        <v>29</v>
      </c>
      <c r="B35" s="4">
        <v>1110</v>
      </c>
      <c r="C35" s="4">
        <v>932</v>
      </c>
      <c r="D35" s="35">
        <v>2042</v>
      </c>
      <c r="E35" s="35"/>
    </row>
    <row r="36" spans="1:5">
      <c r="A36" s="4" t="s">
        <v>6</v>
      </c>
      <c r="B36" s="4">
        <v>9388</v>
      </c>
      <c r="C36" s="4">
        <v>5928</v>
      </c>
      <c r="D36" s="35">
        <v>15316</v>
      </c>
      <c r="E36" s="35"/>
    </row>
    <row r="46" spans="1:5">
      <c r="A46" t="s">
        <v>30</v>
      </c>
    </row>
    <row r="47" spans="1:5" s="2" customFormat="1">
      <c r="A47" s="2" t="s">
        <v>31</v>
      </c>
      <c r="B47" s="2" t="s">
        <v>32</v>
      </c>
      <c r="C47" s="34" t="s">
        <v>33</v>
      </c>
      <c r="D47" s="34"/>
    </row>
    <row r="48" spans="1:5">
      <c r="A48" t="s">
        <v>19</v>
      </c>
      <c r="B48">
        <v>9388</v>
      </c>
      <c r="C48" s="33">
        <v>0.61295377383128757</v>
      </c>
      <c r="D48" s="33"/>
    </row>
    <row r="49" spans="1:4">
      <c r="A49" t="s">
        <v>20</v>
      </c>
      <c r="B49">
        <v>5928</v>
      </c>
      <c r="C49" s="33">
        <v>0.38704622616871248</v>
      </c>
      <c r="D49" s="33"/>
    </row>
    <row r="50" spans="1:4">
      <c r="A50" t="s">
        <v>6</v>
      </c>
      <c r="B50">
        <v>15316</v>
      </c>
      <c r="C50" s="33">
        <v>1</v>
      </c>
      <c r="D50" s="33"/>
    </row>
    <row r="51" spans="1:4">
      <c r="C51" s="5"/>
      <c r="D51" s="5"/>
    </row>
    <row r="52" spans="1:4">
      <c r="C52" s="5"/>
      <c r="D52" s="5"/>
    </row>
    <row r="53" spans="1:4">
      <c r="C53" s="5"/>
      <c r="D53" s="5"/>
    </row>
    <row r="55" spans="1:4">
      <c r="A55" s="1" t="s">
        <v>34</v>
      </c>
    </row>
    <row r="56" spans="1:4">
      <c r="A56" s="1" t="s">
        <v>35</v>
      </c>
      <c r="B56" s="1" t="s">
        <v>36</v>
      </c>
    </row>
    <row r="57" spans="1:4">
      <c r="A57" t="s">
        <v>37</v>
      </c>
      <c r="B57">
        <v>8817</v>
      </c>
    </row>
    <row r="58" spans="1:4">
      <c r="A58" t="s">
        <v>38</v>
      </c>
      <c r="B58">
        <v>5773</v>
      </c>
    </row>
    <row r="59" spans="1:4">
      <c r="A59" t="s">
        <v>39</v>
      </c>
      <c r="B59">
        <v>726</v>
      </c>
    </row>
    <row r="63" spans="1:4" ht="14" customHeight="1"/>
    <row r="64" spans="1:4" ht="14" customHeight="1"/>
    <row r="67" spans="1:6">
      <c r="A67" s="34" t="s">
        <v>40</v>
      </c>
      <c r="B67" s="34"/>
      <c r="C67" s="34"/>
      <c r="D67" s="34"/>
      <c r="E67" s="34"/>
      <c r="F67" s="34"/>
    </row>
    <row r="68" spans="1:6" ht="14.5" customHeight="1">
      <c r="B68" s="35" t="s">
        <v>35</v>
      </c>
      <c r="C68" s="35"/>
      <c r="D68" s="35"/>
      <c r="E68" s="6" t="s">
        <v>6</v>
      </c>
    </row>
    <row r="69" spans="1:6" s="7" customFormat="1" ht="30" customHeight="1">
      <c r="A69" s="7" t="s">
        <v>18</v>
      </c>
      <c r="B69" s="7" t="s">
        <v>37</v>
      </c>
      <c r="C69" s="7" t="s">
        <v>38</v>
      </c>
      <c r="D69" s="8" t="s">
        <v>41</v>
      </c>
      <c r="E69" s="9" t="s">
        <v>42</v>
      </c>
    </row>
    <row r="70" spans="1:6">
      <c r="A70" s="3" t="s">
        <v>21</v>
      </c>
      <c r="B70" s="4">
        <v>843</v>
      </c>
      <c r="C70" s="4">
        <v>372</v>
      </c>
      <c r="D70" s="4">
        <v>90</v>
      </c>
      <c r="E70" s="4">
        <v>1305</v>
      </c>
    </row>
    <row r="71" spans="1:6">
      <c r="A71" s="3" t="s">
        <v>22</v>
      </c>
      <c r="B71" s="4">
        <v>854</v>
      </c>
      <c r="C71" s="4">
        <v>423</v>
      </c>
      <c r="D71" s="4">
        <v>110</v>
      </c>
      <c r="E71" s="4">
        <v>1387</v>
      </c>
    </row>
    <row r="72" spans="1:6">
      <c r="A72" s="3" t="s">
        <v>23</v>
      </c>
      <c r="B72" s="4">
        <v>911</v>
      </c>
      <c r="C72" s="4">
        <v>468</v>
      </c>
      <c r="D72" s="4">
        <v>80</v>
      </c>
      <c r="E72" s="4">
        <v>1459</v>
      </c>
    </row>
    <row r="73" spans="1:6">
      <c r="A73" s="3" t="s">
        <v>24</v>
      </c>
      <c r="B73" s="4">
        <v>950</v>
      </c>
      <c r="C73" s="4">
        <v>518</v>
      </c>
      <c r="D73" s="4">
        <v>78</v>
      </c>
      <c r="E73" s="4">
        <v>1546</v>
      </c>
    </row>
    <row r="74" spans="1:6">
      <c r="A74" s="3" t="s">
        <v>25</v>
      </c>
      <c r="B74" s="4">
        <v>1041</v>
      </c>
      <c r="C74" s="4">
        <v>586</v>
      </c>
      <c r="D74" s="4">
        <v>78</v>
      </c>
      <c r="E74" s="4">
        <v>1705</v>
      </c>
    </row>
    <row r="75" spans="1:6">
      <c r="A75" s="3" t="s">
        <v>26</v>
      </c>
      <c r="B75" s="4">
        <v>1029</v>
      </c>
      <c r="C75" s="4">
        <v>755</v>
      </c>
      <c r="D75" s="4">
        <v>75</v>
      </c>
      <c r="E75" s="4">
        <v>1859</v>
      </c>
    </row>
    <row r="76" spans="1:6">
      <c r="A76" s="3" t="s">
        <v>27</v>
      </c>
      <c r="B76" s="4">
        <v>1065</v>
      </c>
      <c r="C76" s="4">
        <v>869</v>
      </c>
      <c r="D76" s="4">
        <v>81</v>
      </c>
      <c r="E76" s="4">
        <v>2015</v>
      </c>
    </row>
    <row r="77" spans="1:6">
      <c r="A77" s="3" t="s">
        <v>28</v>
      </c>
      <c r="B77" s="4">
        <v>1052</v>
      </c>
      <c r="C77" s="4">
        <v>878</v>
      </c>
      <c r="D77" s="4">
        <v>68</v>
      </c>
      <c r="E77" s="4">
        <v>1998</v>
      </c>
    </row>
    <row r="78" spans="1:6">
      <c r="A78" s="3" t="s">
        <v>29</v>
      </c>
      <c r="B78" s="4">
        <v>1072</v>
      </c>
      <c r="C78" s="4">
        <v>904</v>
      </c>
      <c r="D78" s="4">
        <v>66</v>
      </c>
      <c r="E78" s="4">
        <v>2042</v>
      </c>
    </row>
    <row r="86" spans="1:5">
      <c r="A86" s="2"/>
      <c r="B86" s="34" t="s">
        <v>43</v>
      </c>
      <c r="C86" s="34"/>
      <c r="D86" s="34"/>
      <c r="E86" s="36" t="s">
        <v>6</v>
      </c>
    </row>
    <row r="87" spans="1:5">
      <c r="A87" s="2" t="s">
        <v>44</v>
      </c>
      <c r="B87" s="10" t="s">
        <v>4</v>
      </c>
      <c r="C87" s="10" t="s">
        <v>5</v>
      </c>
      <c r="D87" s="10" t="s">
        <v>3</v>
      </c>
      <c r="E87" s="36"/>
    </row>
    <row r="88" spans="1:5">
      <c r="A88" s="3" t="s">
        <v>45</v>
      </c>
      <c r="B88" s="4">
        <v>2</v>
      </c>
      <c r="C88" s="4">
        <v>14</v>
      </c>
      <c r="D88" s="4"/>
      <c r="E88" s="2">
        <v>16</v>
      </c>
    </row>
    <row r="89" spans="1:5">
      <c r="A89" s="3" t="s">
        <v>46</v>
      </c>
      <c r="B89" s="4">
        <v>2</v>
      </c>
      <c r="C89" s="4">
        <v>6</v>
      </c>
      <c r="D89" s="4">
        <v>4</v>
      </c>
      <c r="E89" s="2">
        <v>12</v>
      </c>
    </row>
    <row r="90" spans="1:5">
      <c r="A90" s="3" t="s">
        <v>47</v>
      </c>
      <c r="B90" s="4">
        <v>6</v>
      </c>
      <c r="C90" s="4">
        <v>4</v>
      </c>
      <c r="D90" s="4">
        <v>2</v>
      </c>
      <c r="E90" s="2">
        <v>12</v>
      </c>
    </row>
    <row r="91" spans="1:5">
      <c r="A91" s="3" t="s">
        <v>48</v>
      </c>
      <c r="B91" s="4">
        <v>1</v>
      </c>
      <c r="C91" s="4">
        <v>8</v>
      </c>
      <c r="D91" s="4">
        <v>3</v>
      </c>
      <c r="E91" s="2">
        <v>12</v>
      </c>
    </row>
    <row r="92" spans="1:5">
      <c r="A92" s="3" t="s">
        <v>49</v>
      </c>
      <c r="B92" s="4">
        <v>4</v>
      </c>
      <c r="C92" s="4">
        <v>4</v>
      </c>
      <c r="D92" s="4">
        <v>4</v>
      </c>
      <c r="E92" s="2">
        <v>12</v>
      </c>
    </row>
    <row r="93" spans="1:5">
      <c r="A93" s="3" t="s">
        <v>50</v>
      </c>
      <c r="B93" s="4"/>
      <c r="C93" s="4">
        <v>8</v>
      </c>
      <c r="D93" s="4">
        <v>4</v>
      </c>
      <c r="E93" s="2">
        <v>12</v>
      </c>
    </row>
    <row r="94" spans="1:5">
      <c r="A94" s="3" t="s">
        <v>51</v>
      </c>
      <c r="B94" s="4">
        <v>4</v>
      </c>
      <c r="C94" s="4">
        <v>3</v>
      </c>
      <c r="D94" s="4">
        <v>4</v>
      </c>
      <c r="E94" s="2">
        <v>11</v>
      </c>
    </row>
    <row r="95" spans="1:5">
      <c r="A95" s="3" t="s">
        <v>52</v>
      </c>
      <c r="B95" s="4">
        <v>1</v>
      </c>
      <c r="C95" s="4">
        <v>8</v>
      </c>
      <c r="D95" s="4">
        <v>2</v>
      </c>
      <c r="E95" s="2">
        <v>11</v>
      </c>
    </row>
    <row r="96" spans="1:5">
      <c r="A96" s="3" t="s">
        <v>53</v>
      </c>
      <c r="B96" s="4">
        <v>4</v>
      </c>
      <c r="C96" s="4">
        <v>6</v>
      </c>
      <c r="D96" s="4"/>
      <c r="E96" s="2">
        <v>10</v>
      </c>
    </row>
    <row r="97" spans="1:5">
      <c r="A97" s="3" t="s">
        <v>54</v>
      </c>
      <c r="B97" s="4">
        <v>1</v>
      </c>
      <c r="C97" s="4">
        <v>3</v>
      </c>
      <c r="D97" s="4">
        <v>6</v>
      </c>
      <c r="E97" s="2">
        <v>10</v>
      </c>
    </row>
    <row r="98" spans="1:5">
      <c r="A98" s="3" t="s">
        <v>55</v>
      </c>
      <c r="B98" s="4">
        <v>6</v>
      </c>
      <c r="C98" s="4"/>
      <c r="D98" s="4">
        <v>4</v>
      </c>
      <c r="E98" s="2">
        <v>10</v>
      </c>
    </row>
    <row r="99" spans="1:5">
      <c r="A99" s="3" t="s">
        <v>56</v>
      </c>
      <c r="B99" s="4">
        <v>2</v>
      </c>
      <c r="C99" s="4">
        <v>5</v>
      </c>
      <c r="D99" s="4">
        <v>3</v>
      </c>
      <c r="E99" s="2">
        <v>10</v>
      </c>
    </row>
    <row r="100" spans="1:5">
      <c r="A100" s="3" t="s">
        <v>57</v>
      </c>
      <c r="B100" s="4"/>
      <c r="C100" s="4">
        <v>9</v>
      </c>
      <c r="D100" s="4">
        <v>1</v>
      </c>
      <c r="E100" s="2">
        <v>10</v>
      </c>
    </row>
    <row r="103" spans="1:5" ht="15" thickBot="1">
      <c r="A103" t="s">
        <v>58</v>
      </c>
    </row>
    <row r="104" spans="1:5" ht="28.5" thickBot="1">
      <c r="A104" s="11" t="s">
        <v>59</v>
      </c>
      <c r="B104" s="11" t="s">
        <v>60</v>
      </c>
      <c r="C104" s="11" t="s">
        <v>61</v>
      </c>
      <c r="D104" s="11" t="s">
        <v>62</v>
      </c>
    </row>
    <row r="105" spans="1:5" ht="28.5" thickBot="1">
      <c r="A105" s="12" t="s">
        <v>63</v>
      </c>
      <c r="B105" s="13">
        <v>16</v>
      </c>
      <c r="C105" s="13">
        <v>14</v>
      </c>
      <c r="D105" s="14" t="s">
        <v>64</v>
      </c>
    </row>
    <row r="106" spans="1:5" ht="42.5" thickBot="1">
      <c r="A106" s="12" t="s">
        <v>65</v>
      </c>
      <c r="B106" s="14">
        <v>11</v>
      </c>
      <c r="C106" s="14">
        <v>7</v>
      </c>
      <c r="D106" s="14" t="s">
        <v>64</v>
      </c>
    </row>
    <row r="107" spans="1:5" ht="42.5" thickBot="1">
      <c r="A107" s="12" t="s">
        <v>66</v>
      </c>
      <c r="B107" s="14">
        <v>10</v>
      </c>
      <c r="C107" s="14">
        <v>0</v>
      </c>
      <c r="D107" s="14" t="s">
        <v>67</v>
      </c>
    </row>
    <row r="108" spans="1:5" ht="28.5" thickBot="1">
      <c r="A108" s="12" t="s">
        <v>68</v>
      </c>
      <c r="B108" s="14">
        <v>9</v>
      </c>
      <c r="C108" s="14">
        <v>7</v>
      </c>
      <c r="D108" s="14" t="s">
        <v>67</v>
      </c>
    </row>
    <row r="110" spans="1:5">
      <c r="A110" s="15" t="s">
        <v>69</v>
      </c>
    </row>
    <row r="111" spans="1:5">
      <c r="A111" s="15" t="s">
        <v>70</v>
      </c>
    </row>
    <row r="113" spans="1:3">
      <c r="A113" s="1" t="s">
        <v>71</v>
      </c>
    </row>
    <row r="114" spans="1:3">
      <c r="A114" s="16" t="s">
        <v>18</v>
      </c>
      <c r="B114" s="16" t="s">
        <v>72</v>
      </c>
      <c r="C114" s="16" t="s">
        <v>73</v>
      </c>
    </row>
    <row r="115" spans="1:3">
      <c r="A115" s="4" t="s">
        <v>21</v>
      </c>
      <c r="B115" s="4">
        <v>155</v>
      </c>
      <c r="C115" s="17">
        <v>7.7811244979919675E-2</v>
      </c>
    </row>
    <row r="116" spans="1:3">
      <c r="A116" s="4" t="s">
        <v>23</v>
      </c>
      <c r="B116" s="4">
        <v>333</v>
      </c>
      <c r="C116" s="17">
        <v>0.16716867469879518</v>
      </c>
    </row>
    <row r="117" spans="1:3">
      <c r="A117" s="4" t="s">
        <v>24</v>
      </c>
      <c r="B117" s="4">
        <v>193</v>
      </c>
      <c r="C117" s="17">
        <v>9.688755020080321E-2</v>
      </c>
    </row>
    <row r="118" spans="1:3">
      <c r="A118" s="4" t="s">
        <v>25</v>
      </c>
      <c r="B118" s="4">
        <v>224</v>
      </c>
      <c r="C118" s="17">
        <v>0.11244979919678715</v>
      </c>
    </row>
    <row r="119" spans="1:3">
      <c r="A119" s="4" t="s">
        <v>26</v>
      </c>
      <c r="B119" s="4">
        <v>260</v>
      </c>
      <c r="C119" s="17">
        <v>0.13052208835341367</v>
      </c>
    </row>
    <row r="120" spans="1:3">
      <c r="A120" s="4" t="s">
        <v>27</v>
      </c>
      <c r="B120" s="4">
        <v>248</v>
      </c>
      <c r="C120" s="17">
        <v>0.12449799196787148</v>
      </c>
    </row>
    <row r="121" spans="1:3">
      <c r="A121" s="4" t="s">
        <v>28</v>
      </c>
      <c r="B121" s="4">
        <v>264</v>
      </c>
      <c r="C121" s="17">
        <v>0.13253012048192772</v>
      </c>
    </row>
    <row r="122" spans="1:3">
      <c r="A122" s="4" t="s">
        <v>29</v>
      </c>
      <c r="B122" s="4">
        <v>315</v>
      </c>
      <c r="C122" s="17">
        <v>0.15813253012048192</v>
      </c>
    </row>
    <row r="123" spans="1:3">
      <c r="A123" s="18" t="s">
        <v>6</v>
      </c>
      <c r="B123" s="19">
        <v>1992</v>
      </c>
      <c r="C123" s="20">
        <v>1</v>
      </c>
    </row>
    <row r="125" spans="1:3">
      <c r="A125" s="15" t="s">
        <v>74</v>
      </c>
    </row>
    <row r="126" spans="1:3">
      <c r="A126" s="15"/>
    </row>
    <row r="127" spans="1:3">
      <c r="A127" s="15" t="s">
        <v>75</v>
      </c>
    </row>
    <row r="130" spans="1:6">
      <c r="A130" t="s">
        <v>76</v>
      </c>
    </row>
    <row r="131" spans="1:6">
      <c r="A131" s="21" t="s">
        <v>36</v>
      </c>
      <c r="B131" s="37" t="s">
        <v>77</v>
      </c>
      <c r="C131" s="37"/>
      <c r="D131" s="37"/>
      <c r="E131" s="37"/>
      <c r="F131" s="22"/>
    </row>
    <row r="132" spans="1:6" s="7" customFormat="1" ht="29">
      <c r="A132" s="22" t="s">
        <v>78</v>
      </c>
      <c r="B132" s="22" t="s">
        <v>79</v>
      </c>
      <c r="C132" s="23" t="s">
        <v>8</v>
      </c>
      <c r="D132" s="22" t="s">
        <v>9</v>
      </c>
      <c r="E132" s="22" t="s">
        <v>10</v>
      </c>
      <c r="F132" s="22" t="s">
        <v>11</v>
      </c>
    </row>
    <row r="133" spans="1:6">
      <c r="A133" s="3" t="s">
        <v>80</v>
      </c>
      <c r="B133">
        <v>446</v>
      </c>
      <c r="C133">
        <v>58</v>
      </c>
      <c r="D133">
        <v>197</v>
      </c>
      <c r="E133">
        <v>88</v>
      </c>
      <c r="F133">
        <v>49</v>
      </c>
    </row>
    <row r="134" spans="1:6">
      <c r="A134" s="3" t="s">
        <v>81</v>
      </c>
      <c r="B134">
        <v>299</v>
      </c>
      <c r="C134">
        <v>115</v>
      </c>
      <c r="D134">
        <v>24</v>
      </c>
      <c r="E134">
        <v>28</v>
      </c>
      <c r="F134">
        <v>15</v>
      </c>
    </row>
    <row r="135" spans="1:6">
      <c r="A135" s="3" t="s">
        <v>82</v>
      </c>
      <c r="B135">
        <v>192</v>
      </c>
      <c r="C135">
        <v>72</v>
      </c>
      <c r="D135">
        <v>48</v>
      </c>
      <c r="F135">
        <v>24</v>
      </c>
    </row>
    <row r="136" spans="1:6">
      <c r="A136" s="3" t="s">
        <v>83</v>
      </c>
      <c r="B136">
        <v>129</v>
      </c>
      <c r="C136">
        <v>103</v>
      </c>
      <c r="D136">
        <v>88</v>
      </c>
      <c r="E136">
        <v>89</v>
      </c>
      <c r="F136">
        <v>24</v>
      </c>
    </row>
    <row r="137" spans="1:6">
      <c r="A137" s="3" t="s">
        <v>84</v>
      </c>
      <c r="B137">
        <v>95</v>
      </c>
      <c r="C137">
        <v>88</v>
      </c>
      <c r="E137">
        <v>6</v>
      </c>
      <c r="F137">
        <v>87</v>
      </c>
    </row>
    <row r="138" spans="1:6">
      <c r="A138" t="s">
        <v>85</v>
      </c>
    </row>
    <row r="139" spans="1:6">
      <c r="A139" s="3"/>
    </row>
    <row r="140" spans="1:6">
      <c r="A140" s="3"/>
    </row>
    <row r="141" spans="1:6">
      <c r="A141" s="24" t="s">
        <v>86</v>
      </c>
    </row>
    <row r="142" spans="1:6">
      <c r="A142" s="3"/>
    </row>
    <row r="143" spans="1:6" ht="29">
      <c r="A143" s="25" t="s">
        <v>18</v>
      </c>
      <c r="B143" s="25" t="s">
        <v>87</v>
      </c>
      <c r="C143" s="25" t="s">
        <v>88</v>
      </c>
      <c r="D143" s="25" t="s">
        <v>89</v>
      </c>
      <c r="E143" s="25" t="s">
        <v>90</v>
      </c>
      <c r="F143" s="25" t="s">
        <v>91</v>
      </c>
    </row>
    <row r="144" spans="1:6">
      <c r="A144" s="4">
        <v>1976</v>
      </c>
      <c r="B144" s="4" t="s">
        <v>92</v>
      </c>
      <c r="C144" s="4">
        <v>20</v>
      </c>
      <c r="D144" s="4">
        <v>11</v>
      </c>
      <c r="E144" s="26">
        <f>(C144-D144)/D144</f>
        <v>0.81818181818181823</v>
      </c>
      <c r="F144" s="27">
        <f>IF(D144=0, "N/A", (C144-D144)/D144)</f>
        <v>0.81818181818181823</v>
      </c>
    </row>
    <row r="145" spans="1:7">
      <c r="A145" s="4">
        <v>1980</v>
      </c>
      <c r="B145" s="4" t="s">
        <v>93</v>
      </c>
      <c r="C145" s="4">
        <v>442</v>
      </c>
      <c r="D145" s="4">
        <v>195</v>
      </c>
      <c r="E145" s="26">
        <f t="shared" ref="E145:E150" si="0">(C145-D145)/D145</f>
        <v>1.2666666666666666</v>
      </c>
      <c r="F145" s="27">
        <f t="shared" ref="F145:F150" si="1">IF(D145=0, "N/A", (C145-D145)/D145)</f>
        <v>1.2666666666666666</v>
      </c>
    </row>
    <row r="146" spans="1:7">
      <c r="A146" s="4">
        <v>1984</v>
      </c>
      <c r="B146" s="4" t="s">
        <v>79</v>
      </c>
      <c r="C146" s="4">
        <v>333</v>
      </c>
      <c r="D146" s="4">
        <v>108</v>
      </c>
      <c r="E146" s="26">
        <f t="shared" si="0"/>
        <v>2.0833333333333335</v>
      </c>
      <c r="F146" s="27">
        <f t="shared" si="1"/>
        <v>2.0833333333333335</v>
      </c>
    </row>
    <row r="147" spans="1:7">
      <c r="A147" s="4">
        <v>1988</v>
      </c>
      <c r="B147" s="4" t="s">
        <v>94</v>
      </c>
      <c r="C147" s="4">
        <v>77</v>
      </c>
      <c r="D147" s="4">
        <v>32</v>
      </c>
      <c r="E147" s="26">
        <f t="shared" si="0"/>
        <v>1.40625</v>
      </c>
      <c r="F147" s="27">
        <f t="shared" si="1"/>
        <v>1.40625</v>
      </c>
    </row>
    <row r="148" spans="1:7">
      <c r="A148" s="4">
        <v>1992</v>
      </c>
      <c r="B148" s="4" t="s">
        <v>95</v>
      </c>
      <c r="C148" s="4">
        <v>66</v>
      </c>
      <c r="D148" s="4">
        <v>22</v>
      </c>
      <c r="E148" s="26">
        <f t="shared" si="0"/>
        <v>2</v>
      </c>
      <c r="F148" s="27">
        <f t="shared" si="1"/>
        <v>2</v>
      </c>
    </row>
    <row r="149" spans="1:7">
      <c r="A149" s="4">
        <v>1996</v>
      </c>
      <c r="B149" s="4" t="s">
        <v>79</v>
      </c>
      <c r="C149" s="4">
        <v>260</v>
      </c>
      <c r="D149" s="4">
        <v>103</v>
      </c>
      <c r="E149" s="26">
        <f t="shared" si="0"/>
        <v>1.5242718446601942</v>
      </c>
      <c r="F149" s="27">
        <f t="shared" si="1"/>
        <v>1.5242718446601942</v>
      </c>
    </row>
    <row r="150" spans="1:7">
      <c r="A150" s="4">
        <v>2000</v>
      </c>
      <c r="B150" s="4" t="s">
        <v>96</v>
      </c>
      <c r="C150" s="4">
        <v>183</v>
      </c>
      <c r="D150" s="4">
        <v>58</v>
      </c>
      <c r="E150" s="26">
        <f t="shared" si="0"/>
        <v>2.1551724137931036</v>
      </c>
      <c r="F150" s="27">
        <f t="shared" si="1"/>
        <v>2.1551724137931036</v>
      </c>
    </row>
    <row r="160" spans="1:7">
      <c r="A160" s="25" t="s">
        <v>2</v>
      </c>
      <c r="B160" s="1" t="s">
        <v>97</v>
      </c>
      <c r="C160" s="1" t="s">
        <v>98</v>
      </c>
      <c r="D160" s="1" t="s">
        <v>99</v>
      </c>
      <c r="E160" s="1" t="s">
        <v>100</v>
      </c>
      <c r="F160" s="1" t="s">
        <v>101</v>
      </c>
      <c r="G160" s="1" t="s">
        <v>102</v>
      </c>
    </row>
    <row r="161" spans="1:7">
      <c r="A161" t="s">
        <v>10</v>
      </c>
      <c r="B161" s="28">
        <f>AVERAGEIF([1]Country_Year_Medals!$A:$A,$A161,[1]Country_Year_Medals!$F:$F)</f>
        <v>-10.25</v>
      </c>
      <c r="C161" s="29">
        <f>AVERAGEIF([1]Country_Year_Medals!$A:$A,$A161,[1]Country_Year_Medals!$G:$G)</f>
        <v>47.4</v>
      </c>
      <c r="D161" s="29">
        <f>AVERAGEIFS([1]Country_Year_Medals!H:H,[1]Country_Year_Medals!A:A,$A161)</f>
        <v>-9.75</v>
      </c>
      <c r="E161" s="29">
        <f>AVERAGEIFS([1]Country_Year_Medals!K:K,[1]Country_Year_Medals!A:A,$A161)</f>
        <v>2.25</v>
      </c>
      <c r="F161" s="29">
        <f t="shared" ref="F161:F166" si="2">D161-B161</f>
        <v>0.5</v>
      </c>
      <c r="G161" s="29">
        <f>AVERAGEIFS([1]Country_Year_Medals!J:J,[1]Country_Year_Medals!A:A,$A161)</f>
        <v>0.7495194837599588</v>
      </c>
    </row>
    <row r="162" spans="1:7">
      <c r="A162" t="s">
        <v>7</v>
      </c>
      <c r="B162" s="28">
        <f>AVERAGEIF([1]Country_Year_Medals!$A:$A,$A162,[1]Country_Year_Medals!$F:$F)</f>
        <v>7.5714285714285712</v>
      </c>
      <c r="C162" s="29">
        <f>AVERAGEIF([1]Country_Year_Medals!$A:$A,$A162,[1]Country_Year_Medals!$G:$G)</f>
        <v>116</v>
      </c>
      <c r="D162" s="29">
        <f>AVERAGEIFS([1]Country_Year_Medals!H:H,[1]Country_Year_Medals!A:A,$A162)</f>
        <v>8.8571428571428577</v>
      </c>
      <c r="E162" s="29">
        <f>AVERAGEIFS([1]Country_Year_Medals!K:K,[1]Country_Year_Medals!A:A,$A162)</f>
        <v>2</v>
      </c>
      <c r="F162" s="29">
        <f t="shared" si="2"/>
        <v>1.2857142857142865</v>
      </c>
      <c r="G162" s="29">
        <f>AVERAGEIFS([1]Country_Year_Medals!J:J,[1]Country_Year_Medals!A:A,$A162)</f>
        <v>2.0852860148079055</v>
      </c>
    </row>
    <row r="163" spans="1:7">
      <c r="A163" t="s">
        <v>8</v>
      </c>
      <c r="B163" s="28">
        <f>AVERAGEIF([1]Country_Year_Medals!$A:$A,$A163,[1]Country_Year_Medals!$F:$F)</f>
        <v>-14</v>
      </c>
      <c r="C163" s="29">
        <f>AVERAGEIF([1]Country_Year_Medals!$A:$A,$A163,[1]Country_Year_Medals!$G:$G)</f>
        <v>146.33333333333334</v>
      </c>
      <c r="D163" s="29">
        <f>AVERAGEIFS([1]Country_Year_Medals!H:H,[1]Country_Year_Medals!A:A,$A163)</f>
        <v>10.5</v>
      </c>
      <c r="E163" s="29">
        <f>AVERAGEIFS([1]Country_Year_Medals!K:K,[1]Country_Year_Medals!A:A,$A163)</f>
        <v>2</v>
      </c>
      <c r="F163" s="29">
        <f t="shared" si="2"/>
        <v>24.5</v>
      </c>
      <c r="G163" s="29">
        <f>AVERAGEIFS([1]Country_Year_Medals!J:J,[1]Country_Year_Medals!A:A,$A163)</f>
        <v>1.4857509627727856</v>
      </c>
    </row>
    <row r="164" spans="1:7">
      <c r="A164" t="s">
        <v>12</v>
      </c>
      <c r="B164" s="28">
        <f>AVERAGEIF([1]Country_Year_Medals!$A:$A,$A164,[1]Country_Year_Medals!$F:$F)</f>
        <v>-0.33333333333333331</v>
      </c>
      <c r="C164" s="29">
        <f>AVERAGEIF([1]Country_Year_Medals!$A:$A,$A164,[1]Country_Year_Medals!$G:$G)</f>
        <v>48</v>
      </c>
      <c r="D164" s="29">
        <f>AVERAGEIFS([1]Country_Year_Medals!H:H,[1]Country_Year_Medals!A:A,$A164)</f>
        <v>2.3333333333333335</v>
      </c>
      <c r="E164" s="29">
        <f>AVERAGEIFS([1]Country_Year_Medals!K:K,[1]Country_Year_Medals!A:A,$A164)</f>
        <v>2</v>
      </c>
      <c r="F164" s="29">
        <f t="shared" si="2"/>
        <v>2.666666666666667</v>
      </c>
      <c r="G164" s="29">
        <f>AVERAGEIFS([1]Country_Year_Medals!J:J,[1]Country_Year_Medals!A:A,$A164)</f>
        <v>0.8265542328042329</v>
      </c>
    </row>
    <row r="165" spans="1:7">
      <c r="A165" t="s">
        <v>9</v>
      </c>
      <c r="B165" s="28">
        <f>AVERAGEIF([1]Country_Year_Medals!$A:$A,$A165,[1]Country_Year_Medals!$F:$F)</f>
        <v>3.25</v>
      </c>
      <c r="C165" s="29">
        <f>AVERAGEIF([1]Country_Year_Medals!$A:$A,$A165,[1]Country_Year_Medals!$G:$G)</f>
        <v>27</v>
      </c>
      <c r="D165" s="29">
        <f>AVERAGEIFS([1]Country_Year_Medals!H:H,[1]Country_Year_Medals!A:A,$A165)</f>
        <v>3.875</v>
      </c>
      <c r="E165" s="29">
        <f>AVERAGEIFS([1]Country_Year_Medals!K:K,[1]Country_Year_Medals!A:A,$A165)</f>
        <v>1.875</v>
      </c>
      <c r="F165" s="29">
        <f t="shared" si="2"/>
        <v>0.625</v>
      </c>
      <c r="G165" s="29">
        <f>AVERAGEIFS([1]Country_Year_Medals!J:J,[1]Country_Year_Medals!A:A,$A165)</f>
        <v>0.9312088590729698</v>
      </c>
    </row>
    <row r="166" spans="1:7">
      <c r="A166" t="s">
        <v>11</v>
      </c>
      <c r="B166" s="28">
        <f>AVERAGEIF([1]Country_Year_Medals!$A:$A,$A166,[1]Country_Year_Medals!$F:$F)</f>
        <v>6.666666666666667</v>
      </c>
      <c r="C166" s="29">
        <f>AVERAGEIF([1]Country_Year_Medals!$A:$A,$A166,[1]Country_Year_Medals!$G:$G)</f>
        <v>33.428571428571431</v>
      </c>
      <c r="D166" s="29">
        <f>AVERAGEIFS([1]Country_Year_Medals!H:H,[1]Country_Year_Medals!A:A,$A166)</f>
        <v>8</v>
      </c>
      <c r="E166" s="29">
        <f>AVERAGEIFS([1]Country_Year_Medals!K:K,[1]Country_Year_Medals!A:A,$A166)</f>
        <v>1.6666666666666667</v>
      </c>
      <c r="F166" s="29">
        <f t="shared" si="2"/>
        <v>1.333333333333333</v>
      </c>
      <c r="G166" s="29">
        <f>AVERAGEIFS([1]Country_Year_Medals!J:J,[1]Country_Year_Medals!A:A,$A166)</f>
        <v>1.5529322991222523</v>
      </c>
    </row>
    <row r="168" spans="1:7">
      <c r="A168" s="1" t="s">
        <v>103</v>
      </c>
    </row>
    <row r="169" spans="1:7">
      <c r="A169" s="15"/>
    </row>
    <row r="170" spans="1:7">
      <c r="A170" s="30" t="s">
        <v>104</v>
      </c>
    </row>
    <row r="171" spans="1:7">
      <c r="A171" s="30" t="s">
        <v>105</v>
      </c>
    </row>
    <row r="172" spans="1:7">
      <c r="A172" s="30" t="s">
        <v>106</v>
      </c>
    </row>
    <row r="179" spans="1:1" s="4" customFormat="1"/>
    <row r="186" spans="1:1">
      <c r="A186" t="s">
        <v>107</v>
      </c>
    </row>
    <row r="187" spans="1:1">
      <c r="A187" t="s">
        <v>108</v>
      </c>
    </row>
    <row r="188" spans="1:1">
      <c r="A188" t="s">
        <v>109</v>
      </c>
    </row>
    <row r="189" spans="1:1">
      <c r="A189" t="s">
        <v>110</v>
      </c>
    </row>
    <row r="190" spans="1:1">
      <c r="A190" t="s">
        <v>111</v>
      </c>
    </row>
    <row r="191" spans="1:1">
      <c r="A191" t="s">
        <v>112</v>
      </c>
    </row>
    <row r="192" spans="1:1" ht="15" thickBot="1">
      <c r="A192" s="1" t="s">
        <v>113</v>
      </c>
    </row>
    <row r="193" spans="1:7" ht="42.5" thickBot="1">
      <c r="A193" s="11" t="s">
        <v>114</v>
      </c>
      <c r="B193" s="11" t="s">
        <v>2</v>
      </c>
      <c r="C193" s="11" t="s">
        <v>115</v>
      </c>
      <c r="D193" s="11" t="s">
        <v>116</v>
      </c>
      <c r="E193" s="11" t="s">
        <v>117</v>
      </c>
      <c r="F193" s="11" t="s">
        <v>118</v>
      </c>
      <c r="G193" s="11" t="s">
        <v>119</v>
      </c>
    </row>
    <row r="194" spans="1:7" ht="28.5" thickBot="1">
      <c r="A194" s="12">
        <v>1</v>
      </c>
      <c r="B194" s="31" t="s">
        <v>10</v>
      </c>
      <c r="C194" s="32">
        <v>2.25</v>
      </c>
      <c r="D194" s="12" t="s">
        <v>120</v>
      </c>
      <c r="E194" s="12" t="s">
        <v>121</v>
      </c>
      <c r="F194" s="12" t="s">
        <v>122</v>
      </c>
      <c r="G194" s="31" t="s">
        <v>123</v>
      </c>
    </row>
    <row r="195" spans="1:7" ht="15" thickBot="1">
      <c r="A195" s="12">
        <v>2</v>
      </c>
      <c r="B195" s="31" t="s">
        <v>79</v>
      </c>
      <c r="C195" s="32">
        <v>2</v>
      </c>
      <c r="D195" s="12" t="s">
        <v>124</v>
      </c>
      <c r="E195" s="12" t="s">
        <v>125</v>
      </c>
      <c r="F195" s="12" t="s">
        <v>126</v>
      </c>
      <c r="G195" s="31" t="s">
        <v>127</v>
      </c>
    </row>
    <row r="196" spans="1:7" ht="28.5" thickBot="1">
      <c r="A196" s="12">
        <v>3</v>
      </c>
      <c r="B196" s="31" t="s">
        <v>8</v>
      </c>
      <c r="C196" s="32">
        <v>2</v>
      </c>
      <c r="D196" s="12" t="s">
        <v>128</v>
      </c>
      <c r="E196" s="12" t="s">
        <v>129</v>
      </c>
      <c r="F196" s="12" t="s">
        <v>130</v>
      </c>
      <c r="G196" s="31" t="s">
        <v>131</v>
      </c>
    </row>
    <row r="197" spans="1:7" ht="28.5" thickBot="1">
      <c r="A197" s="12" t="s">
        <v>132</v>
      </c>
      <c r="B197" s="31" t="s">
        <v>12</v>
      </c>
      <c r="C197" s="32">
        <v>2</v>
      </c>
      <c r="D197" s="12" t="s">
        <v>133</v>
      </c>
      <c r="E197" s="12" t="s">
        <v>134</v>
      </c>
      <c r="F197" s="12" t="s">
        <v>135</v>
      </c>
      <c r="G197" s="12" t="s">
        <v>136</v>
      </c>
    </row>
    <row r="198" spans="1:7" ht="28.5" thickBot="1">
      <c r="A198" s="12">
        <v>5</v>
      </c>
      <c r="B198" s="31" t="s">
        <v>9</v>
      </c>
      <c r="C198" s="32">
        <v>1.88</v>
      </c>
      <c r="D198" s="12" t="s">
        <v>137</v>
      </c>
      <c r="E198" s="12" t="s">
        <v>138</v>
      </c>
      <c r="F198" s="12" t="s">
        <v>139</v>
      </c>
      <c r="G198" s="12" t="s">
        <v>140</v>
      </c>
    </row>
    <row r="200" spans="1:7">
      <c r="A200" t="s">
        <v>141</v>
      </c>
    </row>
    <row r="201" spans="1:7">
      <c r="A201" t="s">
        <v>142</v>
      </c>
    </row>
    <row r="203" spans="1:7">
      <c r="A203" s="1" t="s">
        <v>143</v>
      </c>
      <c r="B203" s="1" t="s">
        <v>144</v>
      </c>
      <c r="C203" s="1" t="s">
        <v>145</v>
      </c>
      <c r="D203" s="1" t="s">
        <v>114</v>
      </c>
    </row>
    <row r="204" spans="1:7">
      <c r="A204" s="1" t="s">
        <v>81</v>
      </c>
      <c r="B204">
        <v>504</v>
      </c>
      <c r="C204" s="27">
        <v>0.13</v>
      </c>
      <c r="D204">
        <v>1</v>
      </c>
    </row>
    <row r="205" spans="1:7">
      <c r="A205" s="1" t="s">
        <v>80</v>
      </c>
      <c r="B205">
        <v>493</v>
      </c>
      <c r="C205" s="27">
        <v>0.13</v>
      </c>
      <c r="D205">
        <v>2</v>
      </c>
    </row>
    <row r="206" spans="1:7">
      <c r="A206" s="1" t="s">
        <v>83</v>
      </c>
      <c r="B206">
        <v>459</v>
      </c>
      <c r="C206" s="27">
        <v>0.12</v>
      </c>
      <c r="D206">
        <v>3</v>
      </c>
    </row>
    <row r="207" spans="1:7">
      <c r="A207" s="1" t="s">
        <v>146</v>
      </c>
      <c r="B207">
        <v>273</v>
      </c>
      <c r="C207" s="27">
        <v>7.0000000000000007E-2</v>
      </c>
      <c r="D207">
        <v>4</v>
      </c>
    </row>
    <row r="208" spans="1:7">
      <c r="A208" s="1" t="s">
        <v>147</v>
      </c>
      <c r="B208">
        <v>256</v>
      </c>
      <c r="C208" s="27">
        <v>7.0000000000000007E-2</v>
      </c>
      <c r="D208">
        <v>5</v>
      </c>
    </row>
    <row r="209" spans="1:4">
      <c r="A209" s="1" t="s">
        <v>148</v>
      </c>
      <c r="B209">
        <v>229</v>
      </c>
      <c r="C209" s="27">
        <v>0.06</v>
      </c>
      <c r="D209">
        <v>6</v>
      </c>
    </row>
    <row r="210" spans="1:4">
      <c r="A210" s="1" t="s">
        <v>149</v>
      </c>
      <c r="B210">
        <v>219</v>
      </c>
      <c r="C210" s="27">
        <v>0.06</v>
      </c>
      <c r="D210">
        <v>7</v>
      </c>
    </row>
    <row r="211" spans="1:4">
      <c r="A211" s="1" t="s">
        <v>82</v>
      </c>
      <c r="B211">
        <v>216</v>
      </c>
      <c r="C211" s="27">
        <v>0.06</v>
      </c>
      <c r="D211">
        <v>8</v>
      </c>
    </row>
    <row r="212" spans="1:4">
      <c r="A212" s="1" t="s">
        <v>150</v>
      </c>
      <c r="B212">
        <v>216</v>
      </c>
      <c r="C212" s="27">
        <v>0.06</v>
      </c>
      <c r="D212">
        <v>8</v>
      </c>
    </row>
    <row r="213" spans="1:4">
      <c r="A213" s="1" t="s">
        <v>151</v>
      </c>
      <c r="B213">
        <v>203</v>
      </c>
      <c r="C213" s="27">
        <v>0.05</v>
      </c>
      <c r="D213">
        <v>10</v>
      </c>
    </row>
    <row r="214" spans="1:4">
      <c r="A214" s="1" t="s">
        <v>152</v>
      </c>
      <c r="B214">
        <v>199</v>
      </c>
      <c r="C214" s="27">
        <v>0.05</v>
      </c>
      <c r="D214">
        <v>11</v>
      </c>
    </row>
    <row r="215" spans="1:4">
      <c r="A215" s="1" t="s">
        <v>153</v>
      </c>
      <c r="B215">
        <v>152</v>
      </c>
      <c r="C215" s="27">
        <v>0.04</v>
      </c>
      <c r="D215">
        <v>12</v>
      </c>
    </row>
    <row r="216" spans="1:4">
      <c r="A216" s="1" t="s">
        <v>154</v>
      </c>
      <c r="B216">
        <v>139</v>
      </c>
      <c r="C216" s="27">
        <v>0.04</v>
      </c>
      <c r="D216">
        <v>13</v>
      </c>
    </row>
    <row r="217" spans="1:4">
      <c r="A217" s="1" t="s">
        <v>155</v>
      </c>
      <c r="B217">
        <v>115</v>
      </c>
      <c r="C217" s="27">
        <v>0.03</v>
      </c>
      <c r="D217">
        <v>14</v>
      </c>
    </row>
    <row r="218" spans="1:4">
      <c r="A218" s="1" t="s">
        <v>156</v>
      </c>
      <c r="B218">
        <v>111</v>
      </c>
      <c r="C218" s="27">
        <v>0.03</v>
      </c>
      <c r="D218">
        <v>15</v>
      </c>
    </row>
    <row r="228" spans="1:1">
      <c r="A228" t="s">
        <v>157</v>
      </c>
    </row>
    <row r="229" spans="1:1">
      <c r="A229" t="s">
        <v>158</v>
      </c>
    </row>
    <row r="230" spans="1:1">
      <c r="A230" t="s">
        <v>159</v>
      </c>
    </row>
    <row r="231" spans="1:1">
      <c r="A231" t="s">
        <v>160</v>
      </c>
    </row>
  </sheetData>
  <mergeCells count="36">
    <mergeCell ref="E16:F16"/>
    <mergeCell ref="A5:E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D33:E33"/>
    <mergeCell ref="E17:F17"/>
    <mergeCell ref="A25:A26"/>
    <mergeCell ref="B25:B26"/>
    <mergeCell ref="C25:C26"/>
    <mergeCell ref="D25:E26"/>
    <mergeCell ref="D27:E27"/>
    <mergeCell ref="D28:E28"/>
    <mergeCell ref="D29:E29"/>
    <mergeCell ref="D30:E30"/>
    <mergeCell ref="D31:E31"/>
    <mergeCell ref="D32:E32"/>
    <mergeCell ref="B131:E131"/>
    <mergeCell ref="D34:E34"/>
    <mergeCell ref="D35:E35"/>
    <mergeCell ref="D36:E36"/>
    <mergeCell ref="C47:D47"/>
    <mergeCell ref="C48:D48"/>
    <mergeCell ref="C49:D49"/>
    <mergeCell ref="C50:D50"/>
    <mergeCell ref="A67:F67"/>
    <mergeCell ref="B68:D68"/>
    <mergeCell ref="B86:D86"/>
    <mergeCell ref="E86:E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Problem_Statements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2026-02-25T18:16:31Z</dcterms:created>
  <dcterms:modified xsi:type="dcterms:W3CDTF">2026-03-27T16:32:27Z</dcterms:modified>
</cp:coreProperties>
</file>